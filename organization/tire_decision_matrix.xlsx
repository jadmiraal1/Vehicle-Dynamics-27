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Tire Decision Matrix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.000"/>
  </numFmts>
  <fonts count="1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sz val="14"/>
    </font>
    <font>
      <name val="Cambria"/>
      <charset val="1"/>
      <family val="0"/>
      <i val="1"/>
      <sz val="9"/>
    </font>
    <font>
      <name val="Cambria"/>
      <charset val="1"/>
      <family val="0"/>
      <b val="1"/>
      <sz val="11"/>
    </font>
    <font>
      <name val="Cambria"/>
      <charset val="1"/>
      <family val="0"/>
      <color rgb="FF0000FF"/>
      <sz val="11"/>
    </font>
    <font>
      <name val="Cambria"/>
      <charset val="1"/>
      <family val="0"/>
      <color rgb="FF000000"/>
      <sz val="11"/>
    </font>
    <font>
      <name val="Cambria"/>
      <charset val="1"/>
      <family val="0"/>
      <i val="1"/>
      <sz val="8.5"/>
    </font>
  </fonts>
  <fills count="4">
    <fill>
      <patternFill/>
    </fill>
    <fill>
      <patternFill patternType="gray125"/>
    </fill>
    <fill>
      <patternFill patternType="solid">
        <fgColor rgb="FFD9E2F3"/>
        <bgColor rgb="FFCCFFFF"/>
      </patternFill>
    </fill>
    <fill>
      <patternFill patternType="solid">
        <fgColor rgb="FFFFF2A8"/>
        <bgColor rgb="FFFFFF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BBBBB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1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1" fontId="7" fillId="3" borderId="1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4" fontId="6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2" fontId="7" fillId="0" borderId="1" applyAlignment="1" pivotButton="0" quotePrefix="0" xfId="0">
      <alignment horizontal="general" vertical="bottom"/>
    </xf>
    <xf numFmtId="164" fontId="8" fillId="0" borderId="1" applyAlignment="1" pivotButton="0" quotePrefix="0" xfId="0">
      <alignment horizontal="general" vertical="bottom"/>
    </xf>
    <xf numFmtId="2" fontId="0" fillId="0" borderId="1" applyAlignment="1" pivotButton="0" quotePrefix="0" xfId="0">
      <alignment horizontal="general" vertical="bottom"/>
    </xf>
    <xf numFmtId="0" fontId="9" fillId="0" borderId="1" applyAlignment="1" pivotButton="0" quotePrefix="0" xfId="0">
      <alignment horizontal="general" vertical="bottom"/>
    </xf>
    <xf numFmtId="1" fontId="8" fillId="0" borderId="1" applyAlignment="1" pivotButton="0" quotePrefix="0" xfId="0">
      <alignment horizontal="general" vertical="bottom"/>
    </xf>
    <xf numFmtId="1" fontId="7" fillId="3" borderId="1" applyAlignment="1" pivotButton="0" quotePrefix="0" xfId="0">
      <alignment horizontal="general" vertical="bottom"/>
    </xf>
    <xf numFmtId="2" fontId="0" fillId="0" borderId="0" applyAlignment="1" pivotButton="0" quotePrefix="0" xfId="0">
      <alignment horizontal="general" vertical="bottom"/>
    </xf>
    <xf numFmtId="164" fontId="6" fillId="2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M1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6" customWidth="1" style="15" min="1" max="1"/>
    <col width="10" customWidth="1" style="15" min="2" max="2"/>
    <col width="8" customWidth="1" style="15" min="3" max="7"/>
    <col width="2" customWidth="1" style="15" min="8" max="8"/>
    <col width="7" customWidth="1" style="15" min="9" max="12"/>
    <col width="58" customWidth="1" style="15" min="13" max="13"/>
  </cols>
  <sheetData>
    <row r="1" ht="17.35" customHeight="1" s="16">
      <c r="A1" s="17" t="inlineStr">
        <is>
          <t>TR26 Tire Selection — Design Decision Matrix</t>
        </is>
      </c>
    </row>
    <row r="2" ht="15" customHeight="1" s="16">
      <c r="A2" s="18" t="inlineStr">
        <is>
          <t>Measured rows: MF fits at 183 lbf design load (pacejka_fit, TTC R8/R9). YELLOW rows: unmeasured — team scores 1-5 (prefilled neutral 3, EDIT). BLUE weights editable; scores auto-normalize 0-1 per row.</t>
        </is>
      </c>
    </row>
    <row r="3" ht="15" customHeight="1" s="16">
      <c r="D3" s="19" t="inlineStr">
        <is>
          <t>RAW VALUES</t>
        </is>
      </c>
      <c r="I3" s="19" t="inlineStr">
        <is>
          <t>SCORES (0-1)</t>
        </is>
      </c>
    </row>
    <row r="4" ht="15" customHeight="1" s="16">
      <c r="A4" s="20" t="inlineStr">
        <is>
          <t>Criterion</t>
        </is>
      </c>
      <c r="B4" s="20" t="inlineStr">
        <is>
          <t>Unit</t>
        </is>
      </c>
      <c r="C4" s="20" t="inlineStr">
        <is>
          <t>Weight</t>
        </is>
      </c>
      <c r="D4" s="20" t="inlineStr">
        <is>
          <t>LC0_16x75</t>
        </is>
      </c>
      <c r="E4" s="20" t="inlineStr">
        <is>
          <t>R20_16x75</t>
        </is>
      </c>
      <c r="F4" s="20" t="inlineStr">
        <is>
          <t>R20_18x60</t>
        </is>
      </c>
      <c r="G4" s="20" t="inlineStr">
        <is>
          <t>GY_18x65</t>
        </is>
      </c>
      <c r="H4" s="20" t="n"/>
      <c r="I4" s="20" t="inlineStr">
        <is>
          <t>LC0_16x75</t>
        </is>
      </c>
      <c r="J4" s="20" t="inlineStr">
        <is>
          <t>R20_16x75</t>
        </is>
      </c>
      <c r="K4" s="20" t="inlineStr">
        <is>
          <t>R20_18x60</t>
        </is>
      </c>
      <c r="L4" s="20" t="inlineStr">
        <is>
          <t>GY_18x65</t>
        </is>
      </c>
      <c r="M4" s="20" t="inlineStr">
        <is>
          <t>Source / note</t>
        </is>
      </c>
    </row>
    <row r="5" ht="15" customHeight="1" s="16">
      <c r="A5" s="21" t="inlineStr">
        <is>
          <t>Peak grip mu @ design load (MF trend)</t>
        </is>
      </c>
      <c r="B5" s="21" t="inlineStr">
        <is>
          <t>-</t>
        </is>
      </c>
      <c r="C5" s="22" t="n">
        <v>0.3</v>
      </c>
      <c r="D5" s="23" t="n">
        <v>2.363</v>
      </c>
      <c r="E5" s="23" t="n">
        <v>2.468</v>
      </c>
      <c r="F5" s="23" t="n">
        <v>2.665</v>
      </c>
      <c r="G5" s="23" t="n">
        <v>2.52</v>
      </c>
      <c r="H5" s="21" t="n"/>
      <c r="I5" s="24">
        <f>IF(MAX($D5:$G5)=MIN($D5:$G5),0.5,(D5-MIN($D5:$G5))/(MAX($D5:$G5)-MIN($D5:$G5)))</f>
        <v/>
      </c>
      <c r="J5" s="24">
        <f>IF(MAX($D5:$G5)=MIN($D5:$G5),0.5,(E5-MIN($D5:$G5))/(MAX($D5:$G5)-MIN($D5:$G5)))</f>
        <v/>
      </c>
      <c r="K5" s="24">
        <f>IF(MAX($D5:$G5)=MIN($D5:$G5),0.5,(F5-MIN($D5:$G5))/(MAX($D5:$G5)-MIN($D5:$G5)))</f>
        <v/>
      </c>
      <c r="L5" s="24">
        <f>IF(MAX($D5:$G5)=MIN($D5:$G5),0.5,(G5-MIN($D5:$G5))/(MAX($D5:$G5)-MIN($D5:$G5)))</f>
        <v/>
      </c>
      <c r="M5" s="25" t="inlineStr">
        <is>
          <t>pacejka_fit identified-bin trend @183 lbf; belt values, derate applies equally</t>
        </is>
      </c>
    </row>
    <row r="6" ht="15" customHeight="1" s="16">
      <c r="A6" s="21" t="inlineStr">
        <is>
          <t>Load sensitivity (mu slope)</t>
        </is>
      </c>
      <c r="B6" s="21" t="inlineStr">
        <is>
          <t>mu/1000 lbf</t>
        </is>
      </c>
      <c r="C6" s="22" t="n">
        <v>0.15</v>
      </c>
      <c r="D6" s="23" t="n">
        <v>-2.37</v>
      </c>
      <c r="E6" s="23" t="n">
        <v>-1.13</v>
      </c>
      <c r="F6" s="23" t="n">
        <v>-1.01</v>
      </c>
      <c r="G6" s="23" t="n">
        <v>-1.13</v>
      </c>
      <c r="H6" s="21" t="n"/>
      <c r="I6" s="24">
        <f>IF(MAX($D6:$G6)=MIN($D6:$G6),0.5,(D6-MIN($D6:$G6))/(MAX($D6:$G6)-MIN($D6:$G6)))</f>
        <v/>
      </c>
      <c r="J6" s="24">
        <f>IF(MAX($D6:$G6)=MIN($D6:$G6),0.5,(E6-MIN($D6:$G6))/(MAX($D6:$G6)-MIN($D6:$G6)))</f>
        <v/>
      </c>
      <c r="K6" s="24">
        <f>IF(MAX($D6:$G6)=MIN($D6:$G6),0.5,(F6-MIN($D6:$G6))/(MAX($D6:$G6)-MIN($D6:$G6)))</f>
        <v/>
      </c>
      <c r="L6" s="24">
        <f>IF(MAX($D6:$G6)=MIN($D6:$G6),0.5,(G6-MIN($D6:$G6))/(MAX($D6:$G6)-MIN($D6:$G6)))</f>
        <v/>
      </c>
      <c r="M6" s="25" t="inlineStr">
        <is>
          <t>less negative = keeps grip under load transfer; LC0_16x75 ~2x worse</t>
        </is>
      </c>
    </row>
    <row r="7" ht="15" customHeight="1" s="16">
      <c r="A7" s="21" t="inlineStr">
        <is>
          <t>Cornering stiffness Ca @ design load</t>
        </is>
      </c>
      <c r="B7" s="21" t="inlineStr">
        <is>
          <t>lbf/deg</t>
        </is>
      </c>
      <c r="C7" s="22" t="n">
        <v>0.15</v>
      </c>
      <c r="D7" s="26" t="n">
        <v>112</v>
      </c>
      <c r="E7" s="26" t="n">
        <v>130</v>
      </c>
      <c r="F7" s="26" t="n">
        <v>126</v>
      </c>
      <c r="G7" s="26" t="n">
        <v>159</v>
      </c>
      <c r="H7" s="21" t="n"/>
      <c r="I7" s="24">
        <f>IF(MAX($D7:$G7)=MIN($D7:$G7),0.5,(D7-MIN($D7:$G7))/(MAX($D7:$G7)-MIN($D7:$G7)))</f>
        <v/>
      </c>
      <c r="J7" s="24">
        <f>IF(MAX($D7:$G7)=MIN($D7:$G7),0.5,(E7-MIN($D7:$G7))/(MAX($D7:$G7)-MIN($D7:$G7)))</f>
        <v/>
      </c>
      <c r="K7" s="24">
        <f>IF(MAX($D7:$G7)=MIN($D7:$G7),0.5,(F7-MIN($D7:$G7))/(MAX($D7:$G7)-MIN($D7:$G7)))</f>
        <v/>
      </c>
      <c r="L7" s="24">
        <f>IF(MAX($D7:$G7)=MIN($D7:$G7),0.5,(G7-MIN($D7:$G7))/(MAX($D7:$G7)-MIN($D7:$G7)))</f>
        <v/>
      </c>
      <c r="M7" s="25" t="inlineStr">
        <is>
          <t>pacejka_fit Ca(Fz) @183 lbf; response/balance authority</t>
        </is>
      </c>
    </row>
    <row r="8" ht="15" customHeight="1" s="16">
      <c r="A8" s="21" t="inlineStr">
        <is>
          <t>Peak grip (ttc_fit percentile, derated)</t>
        </is>
      </c>
      <c r="B8" s="21" t="inlineStr">
        <is>
          <t>-</t>
        </is>
      </c>
      <c r="C8" s="22" t="n">
        <v>0.05</v>
      </c>
      <c r="D8" s="23" t="n">
        <v>1.74</v>
      </c>
      <c r="E8" s="23" t="n">
        <v>1.75</v>
      </c>
      <c r="F8" s="23" t="n">
        <v>1.79</v>
      </c>
      <c r="G8" s="23" t="n">
        <v>1.83</v>
      </c>
      <c r="H8" s="21" t="n"/>
      <c r="I8" s="24">
        <f>IF(MAX($D8:$G8)=MIN($D8:$G8),0.5,(D8-MIN($D8:$G8))/(MAX($D8:$G8)-MIN($D8:$G8)))</f>
        <v/>
      </c>
      <c r="J8" s="24">
        <f>IF(MAX($D8:$G8)=MIN($D8:$G8),0.5,(E8-MIN($D8:$G8))/(MAX($D8:$G8)-MIN($D8:$G8)))</f>
        <v/>
      </c>
      <c r="K8" s="24">
        <f>IF(MAX($D8:$G8)=MIN($D8:$G8),0.5,(F8-MIN($D8:$G8))/(MAX($D8:$G8)-MIN($D8:$G8)))</f>
        <v/>
      </c>
      <c r="L8" s="24">
        <f>IF(MAX($D8:$G8)=MIN($D8:$G8),0.5,(G8-MIN($D8:$G8))/(MAX($D8:$G8)-MIN($D8:$G8)))</f>
        <v/>
      </c>
      <c r="M8" s="25" t="inlineStr">
        <is>
          <t>upper-envelope method; kept at low weight (redundant with row 5)</t>
        </is>
      </c>
    </row>
    <row r="9" ht="15" customHeight="1" s="16">
      <c r="A9" s="21" t="inlineStr">
        <is>
          <t>Package mass &amp; rotating inertia</t>
        </is>
      </c>
      <c r="B9" s="21" t="inlineStr">
        <is>
          <t>1-5</t>
        </is>
      </c>
      <c r="C9" s="22" t="n">
        <v>0.15</v>
      </c>
      <c r="D9" s="27" t="n">
        <v>4</v>
      </c>
      <c r="E9" s="27" t="n">
        <v>4</v>
      </c>
      <c r="F9" s="27" t="n">
        <v>2</v>
      </c>
      <c r="G9" s="27" t="n">
        <v>2</v>
      </c>
      <c r="H9" s="21" t="n"/>
      <c r="I9" s="24">
        <f>IF(MAX($D9:$G9)=MIN($D9:$G9),0.5,(D9-MIN($D9:$G9))/(MAX($D9:$G9)-MIN($D9:$G9)))</f>
        <v/>
      </c>
      <c r="J9" s="24">
        <f>IF(MAX($D9:$G9)=MIN($D9:$G9),0.5,(E9-MIN($D9:$G9))/(MAX($D9:$G9)-MIN($D9:$G9)))</f>
        <v/>
      </c>
      <c r="K9" s="24">
        <f>IF(MAX($D9:$G9)=MIN($D9:$G9),0.5,(F9-MIN($D9:$G9))/(MAX($D9:$G9)-MIN($D9:$G9)))</f>
        <v/>
      </c>
      <c r="L9" s="24">
        <f>IF(MAX($D9:$G9)=MIN($D9:$G9),0.5,(G9-MIN($D9:$G9))/(MAX($D9:$G9)-MIN($D9:$G9)))</f>
        <v/>
      </c>
      <c r="M9" s="25" t="inlineStr">
        <is>
          <t>ESTIMATE: 16in OD lighter than 18in; VERIFY with actual tire+wheel masses</t>
        </is>
      </c>
    </row>
    <row r="10" ht="15" customHeight="1" s="16">
      <c r="A10" s="21" t="inlineStr">
        <is>
          <t>Endurance wear / consistency</t>
        </is>
      </c>
      <c r="B10" s="21" t="inlineStr">
        <is>
          <t>1-5</t>
        </is>
      </c>
      <c r="C10" s="22" t="n">
        <v>0.1</v>
      </c>
      <c r="D10" s="27" t="n">
        <v>3</v>
      </c>
      <c r="E10" s="27" t="n">
        <v>3</v>
      </c>
      <c r="F10" s="27" t="n">
        <v>3</v>
      </c>
      <c r="G10" s="27" t="n">
        <v>3</v>
      </c>
      <c r="H10" s="21" t="n"/>
      <c r="I10" s="24">
        <f>IF(MAX($D10:$G10)=MIN($D10:$G10),0.5,(D10-MIN($D10:$G10))/(MAX($D10:$G10)-MIN($D10:$G10)))</f>
        <v/>
      </c>
      <c r="J10" s="24">
        <f>IF(MAX($D10:$G10)=MIN($D10:$G10),0.5,(E10-MIN($D10:$G10))/(MAX($D10:$G10)-MIN($D10:$G10)))</f>
        <v/>
      </c>
      <c r="K10" s="24">
        <f>IF(MAX($D10:$G10)=MIN($D10:$G10),0.5,(F10-MIN($D10:$G10))/(MAX($D10:$G10)-MIN($D10:$G10)))</f>
        <v/>
      </c>
      <c r="L10" s="24">
        <f>IF(MAX($D10:$G10)=MIN($D10:$G10),0.5,(G10-MIN($D10:$G10))/(MAX($D10:$G10)-MIN($D10:$G10)))</f>
        <v/>
      </c>
      <c r="M10" s="25" t="inlineStr">
        <is>
          <t>TEAM INPUT - original rationale for LC0_16x75; not measurable from TTC</t>
        </is>
      </c>
    </row>
    <row r="11" ht="15" customHeight="1" s="16">
      <c r="A11" s="21" t="inlineStr">
        <is>
          <t>Thermal working range / warmup</t>
        </is>
      </c>
      <c r="B11" s="21" t="inlineStr">
        <is>
          <t>1-5</t>
        </is>
      </c>
      <c r="C11" s="22" t="n">
        <v>0.05</v>
      </c>
      <c r="D11" s="27" t="n">
        <v>3</v>
      </c>
      <c r="E11" s="27" t="n">
        <v>3</v>
      </c>
      <c r="F11" s="27" t="n">
        <v>3</v>
      </c>
      <c r="G11" s="27" t="n">
        <v>3</v>
      </c>
      <c r="H11" s="21" t="n"/>
      <c r="I11" s="24">
        <f>IF(MAX($D11:$G11)=MIN($D11:$G11),0.5,(D11-MIN($D11:$G11))/(MAX($D11:$G11)-MIN($D11:$G11)))</f>
        <v/>
      </c>
      <c r="J11" s="24">
        <f>IF(MAX($D11:$G11)=MIN($D11:$G11),0.5,(E11-MIN($D11:$G11))/(MAX($D11:$G11)-MIN($D11:$G11)))</f>
        <v/>
      </c>
      <c r="K11" s="24">
        <f>IF(MAX($D11:$G11)=MIN($D11:$G11),0.5,(F11-MIN($D11:$G11))/(MAX($D11:$G11)-MIN($D11:$G11)))</f>
        <v/>
      </c>
      <c r="L11" s="24">
        <f>IF(MAX($D11:$G11)=MIN($D11:$G11),0.5,(G11-MIN($D11:$G11))/(MAX($D11:$G11)-MIN($D11:$G11)))</f>
        <v/>
      </c>
      <c r="M11" s="25" t="inlineStr">
        <is>
          <t>TEAM INPUT - TTC is controlled-temp; autocross needs fast warmup</t>
        </is>
      </c>
    </row>
    <row r="12" ht="15" customHeight="1" s="16">
      <c r="A12" s="21" t="inlineStr">
        <is>
          <t>Cost &amp; availability</t>
        </is>
      </c>
      <c r="B12" s="21" t="inlineStr">
        <is>
          <t>1-5</t>
        </is>
      </c>
      <c r="C12" s="22" t="n">
        <v>0.05</v>
      </c>
      <c r="D12" s="27" t="n">
        <v>3</v>
      </c>
      <c r="E12" s="27" t="n">
        <v>3</v>
      </c>
      <c r="F12" s="27" t="n">
        <v>3</v>
      </c>
      <c r="G12" s="27" t="n">
        <v>3</v>
      </c>
      <c r="H12" s="21" t="n"/>
      <c r="I12" s="24">
        <f>IF(MAX($D12:$G12)=MIN($D12:$G12),0.5,(D12-MIN($D12:$G12))/(MAX($D12:$G12)-MIN($D12:$G12)))</f>
        <v/>
      </c>
      <c r="J12" s="24">
        <f>IF(MAX($D12:$G12)=MIN($D12:$G12),0.5,(E12-MIN($D12:$G12))/(MAX($D12:$G12)-MIN($D12:$G12)))</f>
        <v/>
      </c>
      <c r="K12" s="24">
        <f>IF(MAX($D12:$G12)=MIN($D12:$G12),0.5,(F12-MIN($D12:$G12))/(MAX($D12:$G12)-MIN($D12:$G12)))</f>
        <v/>
      </c>
      <c r="L12" s="24">
        <f>IF(MAX($D12:$G12)=MIN($D12:$G12),0.5,(G12-MIN($D12:$G12))/(MAX($D12:$G12)-MIN($D12:$G12)))</f>
        <v/>
      </c>
      <c r="M12" s="25" t="inlineStr">
        <is>
          <t>TEAM INPUT</t>
        </is>
      </c>
    </row>
    <row r="13"/>
    <row r="14" ht="15" customHeight="1" s="16">
      <c r="A14" s="19" t="inlineStr">
        <is>
          <t>WEIGHTED TOTAL</t>
        </is>
      </c>
      <c r="C14" s="28">
        <f>SUM(C5:C12)</f>
        <v/>
      </c>
      <c r="I14" s="29">
        <f>SUMPRODUCT($C$5:$C$12,I5:I12)</f>
        <v/>
      </c>
      <c r="J14" s="29">
        <f>SUMPRODUCT($C$5:$C$12,J5:J12)</f>
        <v/>
      </c>
      <c r="K14" s="29">
        <f>SUMPRODUCT($C$5:$C$12,K5:K12)</f>
        <v/>
      </c>
      <c r="L14" s="29">
        <f>SUMPRODUCT($C$5:$C$12,L5:L12)</f>
        <v/>
      </c>
      <c r="M14" s="30" t="inlineStr">
        <is>
          <t>weight cell must sum to 1.00</t>
        </is>
      </c>
    </row>
    <row r="15"/>
    <row r="16" ht="15" customHeight="1" s="16">
      <c r="A16" s="18" t="inlineStr">
        <is>
          <t>Context: tracker #8 chose LC0_16x75 provisionally for "lighter 16in package + endurance consistency", pending lap sim. Measured performance rows favor R20_16x75 (same size as LC0_16x75, better everywhere) and GY_18x65 (best grip+stiffness, 18in mass penalty). Decision hinges on the yellow rows - measure or score them before re-issuing #8.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2026-07-10T02:42:36Z</dcterms:created>
  <dcterms:modified xmlns:dcterms="http://purl.org/dc/terms/" xmlns:xsi="http://www.w3.org/2001/XMLSchema-instance" xsi:type="dcterms:W3CDTF">2026-07-13T00:25:21Z</dcterms:modified>
  <cp:revision>0</cp:revision>
</cp:coreProperties>
</file>