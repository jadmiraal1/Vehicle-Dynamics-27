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60" yWindow="2660" windowWidth="28800" windowHeight="15920" tabRatio="500" firstSheet="0" activeTab="0" autoFilterDateGrouping="1"/>
  </bookViews>
  <sheets>
    <sheet xmlns:r="http://schemas.openxmlformats.org/officeDocument/2006/relationships" name="Target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How to use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5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charset val="1"/>
      <b val="1"/>
      <color rgb="FFFFFFFF"/>
      <sz val="14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006100"/>
      <sz val="11"/>
    </font>
    <font>
      <name val="Arial"/>
      <charset val="1"/>
      <b val="1"/>
      <color rgb="FF9C0006"/>
      <sz val="11"/>
    </font>
    <font>
      <name val="Arial"/>
      <charset val="1"/>
      <b val="1"/>
      <color rgb="FF2E5A88"/>
      <sz val="10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A88"/>
        <bgColor rgb="FF595959"/>
      </patternFill>
    </fill>
    <fill>
      <patternFill patternType="solid">
        <fgColor rgb="FFEAF0FA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6" fillId="0" borderId="1" applyAlignment="1" pivotButton="0" quotePrefix="0" xfId="0">
      <alignment horizontal="center" indent="1"/>
    </xf>
    <xf numFmtId="0" fontId="7" fillId="5" borderId="1" applyAlignment="1" pivotButton="0" quotePrefix="0" xfId="0">
      <alignment horizontal="left" indent="1"/>
    </xf>
    <xf numFmtId="0" fontId="7" fillId="5" borderId="1" applyAlignment="1" pivotButton="0" quotePrefix="0" xfId="0">
      <alignment horizontal="center" indent="1"/>
    </xf>
    <xf numFmtId="0" fontId="7" fillId="0" borderId="0" pivotButton="0" quotePrefix="0" xfId="0"/>
    <xf numFmtId="9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wrapText="1" indent="1"/>
    </xf>
  </cellXfs>
  <cellStyles count="1">
    <cellStyle name="Normal" xfId="0" builtinId="0"/>
  </cellStyles>
  <dxfs count="6">
    <dxf>
      <font>
        <name val="Arial"/>
        <charset val="1"/>
        <color rgb="FF808080"/>
        <sz val="9"/>
      </font>
      <fill>
        <patternFill>
          <bgColor rgb="FFE7E6E6"/>
        </patternFill>
      </fill>
    </dxf>
    <dxf>
      <font>
        <name val="Arial"/>
        <charset val="1"/>
        <color rgb="FF9C6500"/>
        <sz val="9"/>
      </font>
      <fill>
        <patternFill>
          <bgColor rgb="FFFFF2CC"/>
        </patternFill>
      </fill>
    </dxf>
    <dxf>
      <font>
        <name val="Arial"/>
        <charset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9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A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tabSelected="1" zoomScaleNormal="100" workbookViewId="0">
      <pane ySplit="3" topLeftCell="A12" activePane="bottomLeft" state="frozen"/>
      <selection pane="bottomLeft" activeCell="I58" sqref="I58"/>
    </sheetView>
  </sheetViews>
  <sheetFormatPr baseColWidth="8" defaultColWidth="8.6328125" defaultRowHeight="14.5"/>
  <cols>
    <col width="4" customWidth="1" min="1" max="1"/>
    <col width="34" customWidth="1" min="2" max="2"/>
    <col width="22" customWidth="1" min="3" max="3"/>
    <col width="32" customWidth="1" min="4" max="4"/>
    <col width="11" customWidth="1" min="5" max="5"/>
    <col width="9" customWidth="1" min="6" max="6"/>
    <col width="13" customWidth="1" min="7" max="7"/>
    <col width="34.7265625" customWidth="1" min="8" max="8"/>
    <col width="30" customWidth="1" min="9" max="9"/>
  </cols>
  <sheetData>
    <row r="1" ht="30" customHeight="1">
      <c r="A1" s="4" t="inlineStr">
        <is>
          <t>FSAE EV — Vehicle Dynamics Target Catalog &amp; Tracker</t>
        </is>
      </c>
    </row>
    <row r="2" ht="21.75" customHeight="1">
      <c r="A2" s="3" t="inlineStr">
        <is>
          <t>Set status as you deliver each target. Fill 'Target Value' once your model produces a number. Provisional = hand-calc/literature placeholder before the model is ready.</t>
        </is>
      </c>
    </row>
    <row r="3" ht="27.75" customHeight="1">
      <c r="A3" s="5" t="inlineStr">
        <is>
          <t>#</t>
        </is>
      </c>
      <c r="B3" s="5" t="inlineStr">
        <is>
          <t>Target</t>
        </is>
      </c>
      <c r="C3" s="5" t="inlineStr">
        <is>
          <t>Consumer (subteam)</t>
        </is>
      </c>
      <c r="D3" s="5" t="inlineStr">
        <is>
          <t>Producing model</t>
        </is>
      </c>
      <c r="E3" s="5" t="inlineStr">
        <is>
          <t>Freeze</t>
        </is>
      </c>
      <c r="F3" s="5" t="inlineStr">
        <is>
          <t>Priority</t>
        </is>
      </c>
      <c r="G3" s="5" t="inlineStr">
        <is>
          <t>Status</t>
        </is>
      </c>
      <c r="H3" s="5" t="inlineStr">
        <is>
          <t>Target value</t>
        </is>
      </c>
      <c r="I3" s="5" t="inlineStr">
        <is>
          <t>Notes / assumptions</t>
        </is>
      </c>
    </row>
    <row r="4" ht="19.5" customHeight="1">
      <c r="A4" s="2" t="inlineStr">
        <is>
          <t>1. Vehicle Concept &amp; Mass</t>
        </is>
      </c>
      <c r="B4" s="22" t="n"/>
      <c r="C4" s="22" t="n"/>
      <c r="D4" s="22" t="n"/>
      <c r="E4" s="22" t="n"/>
      <c r="F4" s="22" t="n"/>
      <c r="G4" s="22" t="n"/>
      <c r="H4" s="22" t="n"/>
      <c r="I4" s="23" t="n"/>
    </row>
    <row r="5" ht="15" customHeight="1">
      <c r="A5" s="6" t="n">
        <v>1</v>
      </c>
      <c r="B5" s="7" t="inlineStr">
        <is>
          <t>Total vehicle mass target</t>
        </is>
      </c>
      <c r="C5" s="7" t="inlineStr">
        <is>
          <t>Chassis / All</t>
        </is>
      </c>
      <c r="D5" s="7" t="inlineStr">
        <is>
          <t>Lap sim sensitivity (s/kg)</t>
        </is>
      </c>
      <c r="E5" s="6" t="inlineStr">
        <is>
          <t>Early</t>
        </is>
      </c>
      <c r="F5" s="6" t="inlineStr">
        <is>
          <t>High</t>
        </is>
      </c>
      <c r="G5" s="24" t="inlineStr">
        <is>
          <t>Provisional</t>
        </is>
      </c>
      <c r="H5" s="25" t="inlineStr">
        <is>
          <t>m = 333.8 kg (car 247.7 + driver 86.2)</t>
        </is>
      </c>
      <c r="I5" s="26" t="inlineStr">
        <is>
          <t>RE-ISSUED 2026-07-12 on the REAL driver envelope. p.m_car = 247.66 kg (546 lb TR25 measured dry) + p.m_driver = 86.18 kg (180 lb HEAVIEST-AT-COMP driver + 10 lb gear). p.m is DERIVED. Envelope also carried: p.m_driver_min = 61.23 kg (125 lb + gear, our primary driver) and p.m_driver_max = 95.25 kg (200 lb, heaviest plausible in testing). Design point = heaviest at comp, i.e. the car AS RACED.</t>
        </is>
      </c>
    </row>
    <row r="6" ht="15" customHeight="1">
      <c r="A6" s="9" t="n">
        <v>2</v>
      </c>
      <c r="B6" s="10" t="inlineStr">
        <is>
          <t>Mass distribution (front/rear %)</t>
        </is>
      </c>
      <c r="C6" s="10" t="inlineStr">
        <is>
          <t>Chassis, Suspension</t>
        </is>
      </c>
      <c r="D6" s="26" t="inlineStr">
        <is>
          <t>run_wdist_targets (T-WDIST)</t>
        </is>
      </c>
      <c r="E6" s="9" t="inlineStr">
        <is>
          <t>Early</t>
        </is>
      </c>
      <c r="F6" s="9" t="inlineStr">
        <is>
          <t>High</t>
        </is>
      </c>
      <c r="G6" s="24" t="inlineStr">
        <is>
          <t>Provisional</t>
        </is>
      </c>
      <c r="H6" s="25" t="inlineStr">
        <is>
          <t>44-47% front (prov.); current 40% = accel-aggressive</t>
        </is>
      </c>
      <c r="I6" s="26" t="inlineStr">
        <is>
          <t>DELIVERED 2026-07-14 via run_wdist_targets (mid-tier sweep of mass_dist_f). KEY: lateral grip is FLAT vs weight split (~1% over 38-52% front, front-limited/stable throughout), so weight distribution is a TRACTION-vs-TRANSIENT-STABILITY call, not a grip one. Every steady-state metric favours rearward: launch traction +24% at 38% vs 50% front (RWD, rear axle carries drive load); braking mildly improves rearward (load shifts forward under braking); LLTD can balance the limit across the whole range (LLTD_neutral 0.47-0.58, all in authority). *** The steady-state models CANNOT locate the rearward limit - they favour rear monotonically. The real limit is TRANSIENT yaw stability (turn-in, trail-brake rotation, snap-oversteer) which is NOT modelled (roadmap #5 / track data). *** Target issued as 'rearmost that transient stability allows'; 44% floor is FSAE convention, PROVISIONAL. Current 40% front is accel-optimal but BELOW that floor: validate transient stability before committing this rearward. Principle: set weight distribution for traction/packaging (a one-time decision); trim handling balance with LLTD (a per-session knob) - do not chase steady-state balance with weight distribution.</t>
        </is>
      </c>
    </row>
    <row r="7" ht="15" customHeight="1">
      <c r="A7" s="6" t="n">
        <v>3</v>
      </c>
      <c r="B7" s="7" t="inlineStr">
        <is>
          <t>CG height target</t>
        </is>
      </c>
      <c r="C7" s="7" t="inlineStr">
        <is>
          <t>Chassis</t>
        </is>
      </c>
      <c r="D7" s="7" t="inlineStr">
        <is>
          <t>Load transfer + lap sim sensitivity</t>
        </is>
      </c>
      <c r="E7" s="6" t="inlineStr">
        <is>
          <t>Early</t>
        </is>
      </c>
      <c r="F7" s="6" t="inlineStr">
        <is>
          <t>High</t>
        </is>
      </c>
      <c r="G7" s="24" t="inlineStr">
        <is>
          <t>Provisional</t>
        </is>
      </c>
      <c r="H7" s="25" t="inlineStr">
        <is>
          <t>&lt;= 0.288 m (LIGHT-driver ceiling)</t>
        </is>
      </c>
      <c r="I7" s="26" t="inlineStr">
        <is>
          <t>RE-ISSUED 2026-07-12 on the REAL driver envelope. *** THE BINDING CASE IS THE LIGHT DRIVER, NOT THE HEAVY ONE. *** Rollover margin = (t/2)/(h*mu), and tire mu RISES as load falls - so a lighter driver makes MORE grip per tire and the car tips SOONER. Margins: 1.34x at the 125 lb driver, 1.36x at the 180 lb design driver, 1.37x at 200 lb. Ceiling quoted at the LIGHT driver (mu_y = 1.587): h_cg &lt;= 0.288 m. Current h_cg 0.279 m is WITHIN, margin 1.34x vs 1.3x target - but this is the thinnest it gets. run_load_transfer_targets now computes and prints BOTH ends so the optimistic (heavy-driver) figure cannot be quoted by mistake. Still contingent on lambda_muY &lt;= ~0.70 at skidpad.</t>
        </is>
      </c>
    </row>
    <row r="8" ht="15" customHeight="1">
      <c r="A8" s="9" t="n">
        <v>4</v>
      </c>
      <c r="B8" s="10" t="inlineStr">
        <is>
          <t>Wheelbase</t>
        </is>
      </c>
      <c r="C8" s="10" t="inlineStr">
        <is>
          <t>Chassis</t>
        </is>
      </c>
      <c r="D8" s="10" t="inlineStr">
        <is>
          <t>Handling + lap sim (yaw vs stability)</t>
        </is>
      </c>
      <c r="E8" s="9" t="inlineStr">
        <is>
          <t>Early</t>
        </is>
      </c>
      <c r="F8" s="9" t="inlineStr">
        <is>
          <t>High</t>
        </is>
      </c>
      <c r="G8" s="9" t="inlineStr">
        <is>
          <t>Not started</t>
        </is>
      </c>
      <c r="H8" s="11" t="n"/>
      <c r="I8" s="10" t="n"/>
    </row>
    <row r="9" ht="15" customHeight="1">
      <c r="A9" s="6" t="n">
        <v>5</v>
      </c>
      <c r="B9" s="7" t="inlineStr">
        <is>
          <t>Track width (front/rear)</t>
        </is>
      </c>
      <c r="C9" s="7" t="inlineStr">
        <is>
          <t>Chassis, Suspension</t>
        </is>
      </c>
      <c r="D9" s="7" t="inlineStr">
        <is>
          <t>Load transfer + g-g sensitivity</t>
        </is>
      </c>
      <c r="E9" s="6" t="inlineStr">
        <is>
          <t>Early</t>
        </is>
      </c>
      <c r="F9" s="6" t="inlineStr">
        <is>
          <t>High</t>
        </is>
      </c>
      <c r="G9" s="24" t="inlineStr">
        <is>
          <t>Provisional</t>
        </is>
      </c>
      <c r="H9" s="25" t="inlineStr">
        <is>
          <t>&gt;= 1.153 m (LIGHT-driver floor)</t>
        </is>
      </c>
      <c r="I9" s="26" t="inlineStr">
        <is>
          <t>RE-ISSUED 2026-07-12 on the REAL driver envelope. Same constraint as #3, same trap: floor = 2*h*SF*mu is LARGEST at the light driver (highest mu). 1.153 m at 125 lb vs 1.135 m at 180 lb. Current mean track 1.190 m clears both. Quote the light-driver figure.</t>
        </is>
      </c>
    </row>
    <row r="10" ht="15" customHeight="1">
      <c r="A10" s="9" t="n">
        <v>6</v>
      </c>
      <c r="B10" s="10" t="inlineStr">
        <is>
          <t>Yaw inertia target (Izz)</t>
        </is>
      </c>
      <c r="C10" s="10" t="inlineStr">
        <is>
          <t>Chassis</t>
        </is>
      </c>
      <c r="D10" s="10" t="inlineStr">
        <is>
          <t>Transient handling sensitivity</t>
        </is>
      </c>
      <c r="E10" s="9" t="inlineStr">
        <is>
          <t>Early-Mid</t>
        </is>
      </c>
      <c r="F10" s="9" t="inlineStr">
        <is>
          <t>Med</t>
        </is>
      </c>
      <c r="G10" s="9" t="inlineStr">
        <is>
          <t>Not started</t>
        </is>
      </c>
      <c r="H10" s="11" t="n"/>
      <c r="I10" s="10" t="n"/>
    </row>
    <row r="11" ht="15" customHeight="1">
      <c r="A11" s="6" t="n">
        <v>7</v>
      </c>
      <c r="B11" s="7" t="inlineStr">
        <is>
          <t>Sprung/unsprung mass split</t>
        </is>
      </c>
      <c r="C11" s="7" t="inlineStr">
        <is>
          <t>Suspension</t>
        </is>
      </c>
      <c r="D11" s="7" t="inlineStr">
        <is>
          <t>Ride model</t>
        </is>
      </c>
      <c r="E11" s="6" t="inlineStr">
        <is>
          <t>Mid</t>
        </is>
      </c>
      <c r="F11" s="6" t="inlineStr">
        <is>
          <t>Med</t>
        </is>
      </c>
      <c r="G11" s="6" t="inlineStr">
        <is>
          <t>Not started</t>
        </is>
      </c>
      <c r="H11" s="8" t="n"/>
      <c r="I11" s="7" t="n"/>
    </row>
    <row r="12" ht="19.5" customHeight="1">
      <c r="A12" s="2" t="inlineStr">
        <is>
          <t>2. Tire &amp; Wheel</t>
        </is>
      </c>
      <c r="B12" s="22" t="n"/>
      <c r="C12" s="22" t="n"/>
      <c r="D12" s="22" t="n"/>
      <c r="E12" s="22" t="n"/>
      <c r="F12" s="22" t="n"/>
      <c r="G12" s="22" t="n"/>
      <c r="H12" s="22" t="n"/>
      <c r="I12" s="23" t="n"/>
    </row>
    <row r="13" ht="107.5" customHeight="1">
      <c r="A13" s="6" t="n">
        <v>8</v>
      </c>
      <c r="B13" s="7" t="inlineStr">
        <is>
          <t>Tire compound/construction choice</t>
        </is>
      </c>
      <c r="C13" s="7" t="inlineStr">
        <is>
          <t>Suspension</t>
        </is>
      </c>
      <c r="D13" s="7" t="inlineStr">
        <is>
          <t>TTC fit + lap sim comparison</t>
        </is>
      </c>
      <c r="E13" s="6" t="inlineStr">
        <is>
          <t>Early</t>
        </is>
      </c>
      <c r="F13" s="6" t="inlineStr">
        <is>
          <t>High</t>
        </is>
      </c>
      <c r="G13" s="24" t="inlineStr">
        <is>
          <t>Provisional</t>
        </is>
      </c>
      <c r="H13" s="25" t="inlineStr">
        <is>
          <t>Hoosier LC0_16x75 16x7.5-10</t>
        </is>
      </c>
      <c r="I13" s="26" t="inlineStr">
        <is>
          <t>PROVISIONAL design tire. Curve-basis derated mu_y = 1.565 @183 lbf (was 1.743 on percentile). CROSS-TIRE COMPARISON NOW ON THE SAME (CURVE) BASIS: curve mu_y @183 lbf = R20_18x60 2.569 / GY_18x65 2.511 / R20_16x75 2.449 / LC0_16x75 2.336 raw. NOTE THE RANKING CHANGED vs the percentile method (which gave GY_18x65 1.83 &gt; R20_18x60 1.79 &gt; R20_16x75 1.75 &gt; LC0_16x75 1.74): on the curve basis R20_18x60 now leads, and LC0_16x75 is LAST of the four. LC0_16x75 was picked for the lighter 16in package + endurance consistency, but it is now clearly the lowest-grip option. #8 remains OPEN pending the lap-sim tire comparison (grip vs unsprung mass) - that sweep is now the highest-value open item.</t>
        </is>
      </c>
    </row>
    <row r="14" ht="68.5" customHeight="1">
      <c r="A14" s="9" t="n">
        <v>9</v>
      </c>
      <c r="B14" s="10" t="inlineStr">
        <is>
          <t>Operating temp/pressure window</t>
        </is>
      </c>
      <c r="C14" s="10" t="inlineStr">
        <is>
          <t>Suspension</t>
        </is>
      </c>
      <c r="D14" s="10" t="inlineStr">
        <is>
          <t>TTC analysis</t>
        </is>
      </c>
      <c r="E14" s="9" t="inlineStr">
        <is>
          <t>Mid</t>
        </is>
      </c>
      <c r="F14" s="9" t="inlineStr">
        <is>
          <t>Med</t>
        </is>
      </c>
      <c r="G14" s="9" t="inlineStr">
        <is>
          <t>Provisional</t>
        </is>
      </c>
      <c r="H14" s="11" t="inlineStr">
        <is>
          <t>~8–10 psi (cold, TTC)</t>
        </is>
      </c>
      <c r="I14" s="10" t="inlineStr">
        <is>
          <t>TTC peak μ_y at lowest swept pressures (8–10 psi cold). Real hot target sits higher; needs thermal/pressure-buildup analysis. Provisional.</t>
        </is>
      </c>
    </row>
    <row r="15" ht="55.5" customHeight="1">
      <c r="A15" s="6" t="n">
        <v>10</v>
      </c>
      <c r="B15" s="7" t="inlineStr">
        <is>
          <t>Camber/slip operating ranges</t>
        </is>
      </c>
      <c r="C15" s="7" t="inlineStr">
        <is>
          <t>Suspension</t>
        </is>
      </c>
      <c r="D15" s="7" t="inlineStr">
        <is>
          <t>TTC fit (peak grip vs camber/slip)</t>
        </is>
      </c>
      <c r="E15" s="6" t="inlineStr">
        <is>
          <t>Mid</t>
        </is>
      </c>
      <c r="F15" s="6" t="inlineStr">
        <is>
          <t>High</t>
        </is>
      </c>
      <c r="G15" s="6" t="inlineStr">
        <is>
          <t>Provisional</t>
        </is>
      </c>
      <c r="H15" s="8" t="inlineStr">
        <is>
          <t>0–2° camber @ design load</t>
        </is>
      </c>
      <c r="I15" s="7" t="inlineStr">
        <is>
          <t>TTC fit: peak μ_y near 0–2° inclination at 183 lbf corner load. Camber-gain target to be reconciled with kinematics (mid-tier).</t>
        </is>
      </c>
    </row>
    <row r="16" ht="15" customHeight="1">
      <c r="A16" s="9" t="n">
        <v>11</v>
      </c>
      <c r="B16" s="10" t="inlineStr">
        <is>
          <t>Rim diameter/width</t>
        </is>
      </c>
      <c r="C16" s="10" t="inlineStr">
        <is>
          <t>Suspension</t>
        </is>
      </c>
      <c r="D16" s="10" t="inlineStr">
        <is>
          <t>TTC (grip vs rim width) + mass</t>
        </is>
      </c>
      <c r="E16" s="9" t="inlineStr">
        <is>
          <t>Early</t>
        </is>
      </c>
      <c r="F16" s="9" t="inlineStr">
        <is>
          <t>Med</t>
        </is>
      </c>
      <c r="G16" s="9" t="inlineStr">
        <is>
          <t>Not started</t>
        </is>
      </c>
      <c r="H16" s="11" t="n"/>
      <c r="I16" s="10" t="n"/>
    </row>
    <row r="17" ht="89.5" customHeight="1">
      <c r="A17" s="6" t="n">
        <v>12</v>
      </c>
      <c r="B17" s="7" t="inlineStr">
        <is>
          <t>Grip &amp; slip-stiffness scaling (TTC-&gt;track)</t>
        </is>
      </c>
      <c r="C17" s="7" t="inlineStr">
        <is>
          <t>Suspension</t>
        </is>
      </c>
      <c r="D17" s="7" t="inlineStr">
        <is>
          <t>TTC derating + validation</t>
        </is>
      </c>
      <c r="E17" s="6" t="inlineStr">
        <is>
          <t>Mid</t>
        </is>
      </c>
      <c r="F17" s="6" t="inlineStr">
        <is>
          <t>High</t>
        </is>
      </c>
      <c r="G17" s="24" t="inlineStr">
        <is>
          <t>Provisional</t>
        </is>
      </c>
      <c r="H17" s="25" t="inlineStr">
        <is>
          <t>lambda_muY=0.67, lambda_KyA=0.90</t>
        </is>
      </c>
      <c r="I17" s="26" t="inlineStr">
        <is>
          <t>Unchanged by the curve switch - these are belt-&gt;track SCALINGS (design decisions), not fit outputs, and correctly still live in vehicle_params. Two scalings, never merged (Pacejka LMUY/LKY): peak grip is surface-dominated -&gt; lambda_muY=0.67, FIT AT SKIDPAD. Cornering stiffness is carcass-dominated -&gt; lambda_KyA=0.90, fit from steering-response/understeer tests. CRITICAL: lambda_muY now also gates the rollover margin (#3/#5) - if it fits out above 0.70 the CG/track conflict returns. Skidpad is the long pole for this whole toolchain.</t>
        </is>
      </c>
    </row>
    <row r="18" ht="87.5" customHeight="1">
      <c r="A18" s="9" t="n">
        <v>13</v>
      </c>
      <c r="B18" s="10" t="inlineStr">
        <is>
          <t>Peak long/lat mu (design values)</t>
        </is>
      </c>
      <c r="C18" s="10" t="inlineStr">
        <is>
          <t>Chassis, Powertrain</t>
        </is>
      </c>
      <c r="D18" s="10" t="inlineStr">
        <is>
          <t>TTC fit</t>
        </is>
      </c>
      <c r="E18" s="9" t="inlineStr">
        <is>
          <t>Early-Mid</t>
        </is>
      </c>
      <c r="F18" s="9" t="inlineStr">
        <is>
          <t>High</t>
        </is>
      </c>
      <c r="G18" s="24" t="inlineStr">
        <is>
          <t>Provisional</t>
        </is>
      </c>
      <c r="H18" s="25" t="inlineStr">
        <is>
          <t>mu_y=1.563, mu_x=1.512 (LC0_16x75)</t>
        </is>
      </c>
      <c r="I18" s="26" t="inlineStr">
        <is>
          <t>RE-ISSUED 2026-07-12 on the REAL driver envelope. Curve basis at design corner load 184.1 lbf (180 lb driver). INSIDE the fitted mu(Fz) range 48-197 lbf. Across the full driver envelope mu_y only moves 1.587 (125 lb) -&gt; 1.554 (200 lb) - a 2% band, so driver mass is NOT a significant grip uncertainty. CAVEAT unchanged: the loaded OUTER tire runs ~319 lbf at the limit, +62% beyond the fitted range; load-sensitivity there is extrapolated.</t>
        </is>
      </c>
    </row>
    <row r="19" ht="19.5" customHeight="1">
      <c r="A19" s="2" t="inlineStr">
        <is>
          <t>3. Suspension Geometry</t>
        </is>
      </c>
      <c r="B19" s="22" t="n"/>
      <c r="C19" s="22" t="n"/>
      <c r="D19" s="22" t="n"/>
      <c r="E19" s="22" t="n"/>
      <c r="F19" s="22" t="n"/>
      <c r="G19" s="22" t="n"/>
      <c r="H19" s="22" t="n"/>
      <c r="I19" s="23" t="n"/>
    </row>
    <row r="20" ht="15" customHeight="1">
      <c r="A20" s="9" t="n">
        <v>14</v>
      </c>
      <c r="B20" s="10" t="inlineStr">
        <is>
          <t>Static camber (front/rear)</t>
        </is>
      </c>
      <c r="C20" s="10" t="inlineStr">
        <is>
          <t>Suspension</t>
        </is>
      </c>
      <c r="D20" s="10" t="inlineStr">
        <is>
          <t>Kinematics + TTC</t>
        </is>
      </c>
      <c r="E20" s="9" t="inlineStr">
        <is>
          <t>Mid</t>
        </is>
      </c>
      <c r="F20" s="9" t="inlineStr">
        <is>
          <t>High</t>
        </is>
      </c>
      <c r="G20" s="9" t="inlineStr">
        <is>
          <t>Not started</t>
        </is>
      </c>
      <c r="H20" s="11" t="n"/>
      <c r="I20" s="10" t="n"/>
    </row>
    <row r="21" ht="15" customHeight="1">
      <c r="A21" s="6" t="n">
        <v>15</v>
      </c>
      <c r="B21" s="7" t="inlineStr">
        <is>
          <t>Camber gain curve</t>
        </is>
      </c>
      <c r="C21" s="7" t="inlineStr">
        <is>
          <t>Suspension</t>
        </is>
      </c>
      <c r="D21" s="7" t="inlineStr">
        <is>
          <t>Kinematics</t>
        </is>
      </c>
      <c r="E21" s="6" t="inlineStr">
        <is>
          <t>Mid</t>
        </is>
      </c>
      <c r="F21" s="6" t="inlineStr">
        <is>
          <t>High</t>
        </is>
      </c>
      <c r="G21" s="6" t="inlineStr">
        <is>
          <t>Not started</t>
        </is>
      </c>
      <c r="H21" s="8" t="n"/>
      <c r="I21" s="7" t="n"/>
    </row>
    <row r="22" ht="15" customHeight="1">
      <c r="A22" s="9" t="n">
        <v>16</v>
      </c>
      <c r="B22" s="10" t="inlineStr">
        <is>
          <t>Roll center height (front/rear)</t>
        </is>
      </c>
      <c r="C22" s="10" t="inlineStr">
        <is>
          <t>Suspension</t>
        </is>
      </c>
      <c r="D22" s="10" t="inlineStr">
        <is>
          <t>Kinematics (front-view IC)</t>
        </is>
      </c>
      <c r="E22" s="9" t="inlineStr">
        <is>
          <t>Mid</t>
        </is>
      </c>
      <c r="F22" s="9" t="inlineStr">
        <is>
          <t>High</t>
        </is>
      </c>
      <c r="G22" s="9" t="inlineStr">
        <is>
          <t>Not started</t>
        </is>
      </c>
      <c r="H22" s="11" t="n"/>
      <c r="I22" s="10" t="n"/>
    </row>
    <row r="23" ht="15" customHeight="1">
      <c r="A23" s="6" t="n">
        <v>17</v>
      </c>
      <c r="B23" s="7" t="inlineStr">
        <is>
          <t>Roll center migration limits</t>
        </is>
      </c>
      <c r="C23" s="7" t="inlineStr">
        <is>
          <t>Suspension</t>
        </is>
      </c>
      <c r="D23" s="7" t="inlineStr">
        <is>
          <t>Kinematics through roll</t>
        </is>
      </c>
      <c r="E23" s="6" t="inlineStr">
        <is>
          <t>Mid</t>
        </is>
      </c>
      <c r="F23" s="6" t="inlineStr">
        <is>
          <t>Med</t>
        </is>
      </c>
      <c r="G23" s="6" t="inlineStr">
        <is>
          <t>Not started</t>
        </is>
      </c>
      <c r="H23" s="8" t="n"/>
      <c r="I23" s="7" t="n"/>
    </row>
    <row r="24" ht="15" customHeight="1">
      <c r="A24" s="9" t="n">
        <v>18</v>
      </c>
      <c r="B24" s="10" t="inlineStr">
        <is>
          <t>Static toe (front/rear)</t>
        </is>
      </c>
      <c r="C24" s="10" t="inlineStr">
        <is>
          <t>Suspension</t>
        </is>
      </c>
      <c r="D24" s="10" t="inlineStr">
        <is>
          <t>Handling (stability vs response)</t>
        </is>
      </c>
      <c r="E24" s="9" t="inlineStr">
        <is>
          <t>Mid-Late</t>
        </is>
      </c>
      <c r="F24" s="9" t="inlineStr">
        <is>
          <t>Med</t>
        </is>
      </c>
      <c r="G24" s="9" t="inlineStr">
        <is>
          <t>Not started</t>
        </is>
      </c>
      <c r="H24" s="11" t="n"/>
      <c r="I24" s="10" t="n"/>
    </row>
    <row r="25" ht="15" customHeight="1">
      <c r="A25" s="6" t="n">
        <v>19</v>
      </c>
      <c r="B25" s="7" t="inlineStr">
        <is>
          <t>Bump steer limits</t>
        </is>
      </c>
      <c r="C25" s="7" t="inlineStr">
        <is>
          <t>Suspension</t>
        </is>
      </c>
      <c r="D25" s="7" t="inlineStr">
        <is>
          <t>Kinematics (tie-rod geometry)</t>
        </is>
      </c>
      <c r="E25" s="6" t="inlineStr">
        <is>
          <t>Mid</t>
        </is>
      </c>
      <c r="F25" s="6" t="inlineStr">
        <is>
          <t>High</t>
        </is>
      </c>
      <c r="G25" s="6" t="inlineStr">
        <is>
          <t>Not started</t>
        </is>
      </c>
      <c r="H25" s="8" t="n"/>
      <c r="I25" s="7" t="n"/>
    </row>
    <row r="26" ht="15" customHeight="1">
      <c r="A26" s="9" t="n">
        <v>20</v>
      </c>
      <c r="B26" s="10" t="inlineStr">
        <is>
          <t>Caster angle</t>
        </is>
      </c>
      <c r="C26" s="10" t="inlineStr">
        <is>
          <t>Suspension</t>
        </is>
      </c>
      <c r="D26" s="26" t="inlineStr">
        <is>
          <t>aligning_moment.m (T-CAS transfer chart)</t>
        </is>
      </c>
      <c r="E26" s="9" t="inlineStr">
        <is>
          <t>Mid</t>
        </is>
      </c>
      <c r="F26" s="9" t="inlineStr">
        <is>
          <t>Med</t>
        </is>
      </c>
      <c r="G26" s="24" t="inlineStr">
        <is>
          <t>Provisional</t>
        </is>
      </c>
      <c r="H26" s="25" t="inlineStr">
        <is>
          <t>3-6 deg caster (10-21 mm mech trail) = 51-65 N*m/tire peak; PRACTICE window, not a computed optimum</t>
        </is>
      </c>
      <c r="I26" s="26" t="inlineStr">
        <is>
          <t>DELIVERED 2026-07-15; REWORKED 2026-07-19 for rigor. VD delivers the TRANSFER, not a picked number: steering torque/tire = Fy(a)*(mechanical + pneumatic trail), evaluated over a caster grid from the 250 lbf measured bin (track-derated Fy). Pneumatic trail COLLAPSES toward the limit, so with 0 caster the torque keeps only 26% of its mid-corner peak at the grip limit (~11.6 deg) = NUMB; adding constant mechanical trail (caster) holds it up. TRANSFER (caster deg -&gt; mech trail mm -&gt; peak / limit torque N*m -&gt; limit%% of peak): 0-&gt;0-&gt;37/10-&gt;26; 3-&gt;10.5-&gt;51/28-&gt;55; 4-&gt;14-&gt;56/34-&gt;61; 5-&gt;17.5-&gt;60/40-&gt;67; 6-&gt;21-&gt;65/46-&gt;71; 8-&gt;28-&gt;74/59-&gt;79. RECOMMENDED START = 3-6 deg caster (10-21 mm mech trail, 51-65 N*m/tire) - CITED practice range (passenger/FSAE positive caster ~3-6 deg), and both trails stay below peak pneumatic trail (~41 mm) so mechanical trail complements rather than OVERPOWERS the tire self-centering (FSAE guidance; no power steering). REMOVED the earlier 60-75%% "feel-retention" auto-selector: that threshold was an engineering heuristic, not literature-validated, so it cannot set a target. Steering finalizes the value against its EFFORT BUDGET once the steering ratio (#52) exists. R_e=0.20 m for trail&lt;-&gt;caster (mech trail = R_e*tan(caster); ground-trail approx, scrub/kingpin offset deferred to #22). PROVISIONAL: front-outer load 303 lbf is mid-tier (+/-10-20% with roll-stiffness + aero).</t>
        </is>
      </c>
    </row>
    <row r="27" ht="15" customHeight="1">
      <c r="A27" s="6" t="n">
        <v>21</v>
      </c>
      <c r="B27" s="7" t="inlineStr">
        <is>
          <t>Caster change limits</t>
        </is>
      </c>
      <c r="C27" s="7" t="inlineStr">
        <is>
          <t>Suspension</t>
        </is>
      </c>
      <c r="D27" s="7" t="inlineStr">
        <is>
          <t>Kinematics</t>
        </is>
      </c>
      <c r="E27" s="6" t="inlineStr">
        <is>
          <t>Mid</t>
        </is>
      </c>
      <c r="F27" s="6" t="inlineStr">
        <is>
          <t>Med</t>
        </is>
      </c>
      <c r="G27" s="6" t="inlineStr">
        <is>
          <t>Not started</t>
        </is>
      </c>
      <c r="H27" s="8" t="n"/>
      <c r="I27" s="7" t="n"/>
    </row>
    <row r="28" ht="15" customHeight="1">
      <c r="A28" s="9" t="n">
        <v>22</v>
      </c>
      <c r="B28" s="10" t="inlineStr">
        <is>
          <t>Kingpin inclination / scrub radius</t>
        </is>
      </c>
      <c r="C28" s="10" t="inlineStr">
        <is>
          <t>Suspension, Steering</t>
        </is>
      </c>
      <c r="D28" s="10" t="inlineStr">
        <is>
          <t>Kinematics</t>
        </is>
      </c>
      <c r="E28" s="9" t="inlineStr">
        <is>
          <t>Mid</t>
        </is>
      </c>
      <c r="F28" s="9" t="inlineStr">
        <is>
          <t>Med</t>
        </is>
      </c>
      <c r="G28" s="9" t="inlineStr">
        <is>
          <t>Not started</t>
        </is>
      </c>
      <c r="H28" s="11" t="n"/>
      <c r="I28" s="10" t="n"/>
    </row>
    <row r="29" ht="15" customHeight="1">
      <c r="A29" s="6" t="n">
        <v>23</v>
      </c>
      <c r="B29" s="7" t="inlineStr">
        <is>
          <t>Anti-dive % (front)</t>
        </is>
      </c>
      <c r="C29" s="7" t="inlineStr">
        <is>
          <t>Suspension</t>
        </is>
      </c>
      <c r="D29" s="7" t="inlineStr">
        <is>
          <t>Side-view geometry</t>
        </is>
      </c>
      <c r="E29" s="6" t="inlineStr">
        <is>
          <t>Mid</t>
        </is>
      </c>
      <c r="F29" s="6" t="inlineStr">
        <is>
          <t>Med</t>
        </is>
      </c>
      <c r="G29" s="6" t="inlineStr">
        <is>
          <t>Not started</t>
        </is>
      </c>
      <c r="H29" s="8" t="n"/>
      <c r="I29" s="7" t="n"/>
    </row>
    <row r="30" ht="15" customHeight="1">
      <c r="A30" s="9" t="n">
        <v>24</v>
      </c>
      <c r="B30" s="10" t="inlineStr">
        <is>
          <t>Anti-squat % (rear)</t>
        </is>
      </c>
      <c r="C30" s="10" t="inlineStr">
        <is>
          <t>Suspension</t>
        </is>
      </c>
      <c r="D30" s="10" t="inlineStr">
        <is>
          <t>Side-view geometry</t>
        </is>
      </c>
      <c r="E30" s="9" t="inlineStr">
        <is>
          <t>Mid</t>
        </is>
      </c>
      <c r="F30" s="9" t="inlineStr">
        <is>
          <t>Med</t>
        </is>
      </c>
      <c r="G30" s="9" t="inlineStr">
        <is>
          <t>Not started</t>
        </is>
      </c>
      <c r="H30" s="11" t="n"/>
      <c r="I30" s="10" t="n"/>
    </row>
    <row r="31" ht="15" customHeight="1">
      <c r="A31" s="6" t="n">
        <v>25</v>
      </c>
      <c r="B31" s="7" t="inlineStr">
        <is>
          <t>Motion ratio targets (spring &amp; damper)</t>
        </is>
      </c>
      <c r="C31" s="7" t="inlineStr">
        <is>
          <t>Suspension</t>
        </is>
      </c>
      <c r="D31" s="7" t="inlineStr">
        <is>
          <t>Kinematics</t>
        </is>
      </c>
      <c r="E31" s="6" t="inlineStr">
        <is>
          <t>Mid</t>
        </is>
      </c>
      <c r="F31" s="6" t="inlineStr">
        <is>
          <t>High</t>
        </is>
      </c>
      <c r="G31" s="6" t="inlineStr">
        <is>
          <t>Not started</t>
        </is>
      </c>
      <c r="H31" s="8" t="n"/>
      <c r="I31" s="7" t="n"/>
    </row>
    <row r="32" ht="15" customHeight="1">
      <c r="A32" s="9" t="n">
        <v>26</v>
      </c>
      <c r="B32" s="10" t="inlineStr">
        <is>
          <t>Suspension travel (bump/rebound)</t>
        </is>
      </c>
      <c r="C32" s="10" t="inlineStr">
        <is>
          <t>Suspension, Chassis</t>
        </is>
      </c>
      <c r="D32" s="10" t="inlineStr">
        <is>
          <t>Ride model + packaging</t>
        </is>
      </c>
      <c r="E32" s="9" t="inlineStr">
        <is>
          <t>Mid</t>
        </is>
      </c>
      <c r="F32" s="9" t="inlineStr">
        <is>
          <t>High</t>
        </is>
      </c>
      <c r="G32" s="9" t="inlineStr">
        <is>
          <t>Not started</t>
        </is>
      </c>
      <c r="H32" s="11" t="n"/>
      <c r="I32" s="10" t="n"/>
    </row>
    <row r="33" ht="15" customHeight="1">
      <c r="A33" s="6" t="n">
        <v>27</v>
      </c>
      <c r="B33" s="7" t="inlineStr">
        <is>
          <t>Ackermann %</t>
        </is>
      </c>
      <c r="C33" s="7" t="inlineStr">
        <is>
          <t>Steering, Suspension</t>
        </is>
      </c>
      <c r="D33" s="7" t="inlineStr">
        <is>
          <t>Kinematics + TTC slip</t>
        </is>
      </c>
      <c r="E33" s="6" t="inlineStr">
        <is>
          <t>Mid</t>
        </is>
      </c>
      <c r="F33" s="6" t="inlineStr">
        <is>
          <t>Med</t>
        </is>
      </c>
      <c r="G33" s="6" t="inlineStr">
        <is>
          <t>Not started</t>
        </is>
      </c>
      <c r="H33" s="8" t="n"/>
      <c r="I33" s="7" t="n"/>
    </row>
    <row r="34" ht="19.5" customHeight="1">
      <c r="A34" s="2" t="inlineStr">
        <is>
          <t>4. Springs, Dampers, ARBs</t>
        </is>
      </c>
      <c r="B34" s="22" t="n"/>
      <c r="C34" s="22" t="n"/>
      <c r="D34" s="22" t="n"/>
      <c r="E34" s="22" t="n"/>
      <c r="F34" s="22" t="n"/>
      <c r="G34" s="22" t="n"/>
      <c r="H34" s="22" t="n"/>
      <c r="I34" s="23" t="n"/>
    </row>
    <row r="35" ht="15" customHeight="1">
      <c r="A35" s="6" t="n">
        <v>28</v>
      </c>
      <c r="B35" s="7" t="inlineStr">
        <is>
          <t>Ride frequencies (front/rear)</t>
        </is>
      </c>
      <c r="C35" s="7" t="inlineStr">
        <is>
          <t>Suspension</t>
        </is>
      </c>
      <c r="D35" s="7" t="inlineStr">
        <is>
          <t>Ride model (quarter/full car)</t>
        </is>
      </c>
      <c r="E35" s="6" t="inlineStr">
        <is>
          <t>Mid</t>
        </is>
      </c>
      <c r="F35" s="6" t="inlineStr">
        <is>
          <t>High</t>
        </is>
      </c>
      <c r="G35" s="6" t="inlineStr">
        <is>
          <t>Not started</t>
        </is>
      </c>
      <c r="H35" s="8" t="n"/>
      <c r="I35" s="7" t="n"/>
    </row>
    <row r="36" ht="15" customHeight="1">
      <c r="A36" s="9" t="n">
        <v>29</v>
      </c>
      <c r="B36" s="10" t="inlineStr">
        <is>
          <t>Wheel rate / spring rate targets</t>
        </is>
      </c>
      <c r="C36" s="10" t="inlineStr">
        <is>
          <t>Suspension</t>
        </is>
      </c>
      <c r="D36" s="10" t="inlineStr">
        <is>
          <t>Ride model + motion ratio</t>
        </is>
      </c>
      <c r="E36" s="9" t="inlineStr">
        <is>
          <t>Mid</t>
        </is>
      </c>
      <c r="F36" s="9" t="inlineStr">
        <is>
          <t>High</t>
        </is>
      </c>
      <c r="G36" s="9" t="inlineStr">
        <is>
          <t>Not started</t>
        </is>
      </c>
      <c r="H36" s="11" t="n"/>
      <c r="I36" s="10" t="n"/>
    </row>
    <row r="37" ht="15" customHeight="1">
      <c r="A37" s="6" t="n">
        <v>30</v>
      </c>
      <c r="B37" s="7" t="inlineStr">
        <is>
          <t>Roll stiffness distribution (% front)</t>
        </is>
      </c>
      <c r="C37" s="7" t="inlineStr">
        <is>
          <t>Suspension, Mgmt</t>
        </is>
      </c>
      <c r="D37" s="7" t="inlineStr">
        <is>
          <t>Steady-state handling (balance)</t>
        </is>
      </c>
      <c r="E37" s="6" t="inlineStr">
        <is>
          <t>Mid</t>
        </is>
      </c>
      <c r="F37" s="6" t="inlineStr">
        <is>
          <t>High</t>
        </is>
      </c>
      <c r="G37" s="6" t="inlineStr">
        <is>
          <t>Not started</t>
        </is>
      </c>
      <c r="H37" s="8" t="n"/>
      <c r="I37" s="7" t="n"/>
    </row>
    <row r="38" ht="15" customHeight="1">
      <c r="A38" s="9" t="n">
        <v>31</v>
      </c>
      <c r="B38" s="10" t="inlineStr">
        <is>
          <t>ARB rate targets (front/rear)</t>
        </is>
      </c>
      <c r="C38" s="10" t="inlineStr">
        <is>
          <t>Suspension</t>
        </is>
      </c>
      <c r="D38" s="10" t="inlineStr">
        <is>
          <t>Handling + ride</t>
        </is>
      </c>
      <c r="E38" s="9" t="inlineStr">
        <is>
          <t>Mid-Late</t>
        </is>
      </c>
      <c r="F38" s="9" t="inlineStr">
        <is>
          <t>High</t>
        </is>
      </c>
      <c r="G38" s="9" t="inlineStr">
        <is>
          <t>Not started</t>
        </is>
      </c>
      <c r="H38" s="11" t="n"/>
      <c r="I38" s="10" t="n"/>
    </row>
    <row r="39" ht="15" customHeight="1">
      <c r="A39" s="6" t="n">
        <v>32</v>
      </c>
      <c r="B39" s="7" t="inlineStr">
        <is>
          <t>Damper curve targets (LS/HS bump/reb)</t>
        </is>
      </c>
      <c r="C39" s="7" t="inlineStr">
        <is>
          <t>Suspension</t>
        </is>
      </c>
      <c r="D39" s="7" t="inlineStr">
        <is>
          <t>Transient ride model</t>
        </is>
      </c>
      <c r="E39" s="6" t="inlineStr">
        <is>
          <t>Late</t>
        </is>
      </c>
      <c r="F39" s="6" t="inlineStr">
        <is>
          <t>Med</t>
        </is>
      </c>
      <c r="G39" s="6" t="inlineStr">
        <is>
          <t>Not started</t>
        </is>
      </c>
      <c r="H39" s="8" t="n"/>
      <c r="I39" s="7" t="n"/>
    </row>
    <row r="40" ht="15" customHeight="1">
      <c r="A40" s="9" t="n">
        <v>33</v>
      </c>
      <c r="B40" s="10" t="inlineStr">
        <is>
          <t>Static ride heights (front/rear)</t>
        </is>
      </c>
      <c r="C40" s="10" t="inlineStr">
        <is>
          <t>Suspension, Aero</t>
        </is>
      </c>
      <c r="D40" s="10" t="inlineStr">
        <is>
          <t>Ride model + aero</t>
        </is>
      </c>
      <c r="E40" s="9" t="inlineStr">
        <is>
          <t>Mid-Late</t>
        </is>
      </c>
      <c r="F40" s="9" t="inlineStr">
        <is>
          <t>Med</t>
        </is>
      </c>
      <c r="G40" s="9" t="inlineStr">
        <is>
          <t>Not started</t>
        </is>
      </c>
      <c r="H40" s="11" t="n"/>
      <c r="I40" s="10" t="n"/>
    </row>
    <row r="41" ht="15" customHeight="1">
      <c r="A41" s="6" t="n">
        <v>34</v>
      </c>
      <c r="B41" s="7" t="inlineStr">
        <is>
          <t>Target understeer gradient</t>
        </is>
      </c>
      <c r="C41" s="7" t="inlineStr">
        <is>
          <t>Suspension, Mgmt</t>
        </is>
      </c>
      <c r="D41" s="7" t="inlineStr">
        <is>
          <t>Steady-state handling (bicycle)</t>
        </is>
      </c>
      <c r="E41" s="6" t="inlineStr">
        <is>
          <t>Mid</t>
        </is>
      </c>
      <c r="F41" s="6" t="inlineStr">
        <is>
          <t>High</t>
        </is>
      </c>
      <c r="G41" s="27" t="inlineStr">
        <is>
          <t>Provisional</t>
        </is>
      </c>
      <c r="H41" s="28" t="inlineStr">
        <is>
          <t>K ~ -0.08 deg/g (near-neutral)</t>
        </is>
      </c>
      <c r="I41" s="29" t="inlineStr">
        <is>
          <t>TRACKER&lt;-&gt;CODE SYNC 2026-07-11: this was marked 'Not started' but run_handling_targets.m has been COMPUTING it. K = Wf/Ca_f - Wr/Ca_r at static axle loads x lambda_KyA. Ill-conditioned (small difference of two large terms) - TRUST THE SIGN, NOT THE DECIMALS. Effectively neutral. Will move once the mid-tier roll-stiffness model lands. Cornering stiffness now flows from pacejka_fit's Ca(Fz) via tire_coeffs.mat, so this target auto-follows the tire.</t>
        </is>
      </c>
    </row>
    <row r="42" ht="15" customHeight="1">
      <c r="A42" s="9" t="n">
        <v>35</v>
      </c>
      <c r="B42" s="10" t="inlineStr">
        <is>
          <t>Roll gradient (deg/g)</t>
        </is>
      </c>
      <c r="C42" s="10" t="inlineStr">
        <is>
          <t>Suspension</t>
        </is>
      </c>
      <c r="D42" s="10" t="inlineStr">
        <is>
          <t>Handling + ride</t>
        </is>
      </c>
      <c r="E42" s="9" t="inlineStr">
        <is>
          <t>Mid</t>
        </is>
      </c>
      <c r="F42" s="9" t="inlineStr">
        <is>
          <t>Med</t>
        </is>
      </c>
      <c r="G42" s="9" t="inlineStr">
        <is>
          <t>Not started</t>
        </is>
      </c>
      <c r="H42" s="11" t="n"/>
      <c r="I42" s="10" t="n"/>
    </row>
    <row r="43" ht="19.5" customHeight="1">
      <c r="A43" s="2" t="inlineStr">
        <is>
          <t>5. Aerodynamics</t>
        </is>
      </c>
      <c r="B43" s="22" t="n"/>
      <c r="C43" s="22" t="n"/>
      <c r="D43" s="22" t="n"/>
      <c r="E43" s="22" t="n"/>
      <c r="F43" s="22" t="n"/>
      <c r="G43" s="22" t="n"/>
      <c r="H43" s="22" t="n"/>
      <c r="I43" s="23" t="n"/>
    </row>
    <row r="44" ht="15" customHeight="1">
      <c r="A44" s="9" t="n">
        <v>36</v>
      </c>
      <c r="B44" s="10" t="inlineStr">
        <is>
          <t>Downforce target (ClA)</t>
        </is>
      </c>
      <c r="C44" s="10" t="inlineStr">
        <is>
          <t>Aero</t>
        </is>
      </c>
      <c r="D44" s="10" t="inlineStr">
        <is>
          <t>Lap sim (downforce vs lap time)</t>
        </is>
      </c>
      <c r="E44" s="9" t="inlineStr">
        <is>
          <t>Early-Mid</t>
        </is>
      </c>
      <c r="F44" s="9" t="inlineStr">
        <is>
          <t>High</t>
        </is>
      </c>
      <c r="G44" s="9" t="inlineStr">
        <is>
          <t>Provisional</t>
        </is>
      </c>
      <c r="H44" s="11" t="inlineStr">
        <is>
          <t>4.0 m2 (band 3.5-4.5)</t>
        </is>
      </c>
      <c r="I44" s="10" t="inlineStr">
        <is>
          <t>run_aero_targets.m vs REAL 2026 benchmarks: points MONOTONIC in ClA to ~5 - package as much as rules allow. +29 pts vs current 1.30. Exchange +16.9 pts/m2. Jul 2026.</t>
        </is>
      </c>
    </row>
    <row r="45" ht="15" customHeight="1">
      <c r="A45" s="6" t="n">
        <v>37</v>
      </c>
      <c r="B45" s="7" t="inlineStr">
        <is>
          <t>Drag budget (CdA)</t>
        </is>
      </c>
      <c r="C45" s="7" t="inlineStr">
        <is>
          <t>Aero, Powertrain</t>
        </is>
      </c>
      <c r="D45" s="7" t="inlineStr">
        <is>
          <t>Lap sim + energy model</t>
        </is>
      </c>
      <c r="E45" s="6" t="inlineStr">
        <is>
          <t>Early-Mid</t>
        </is>
      </c>
      <c r="F45" s="6" t="inlineStr">
        <is>
          <t>High</t>
        </is>
      </c>
      <c r="G45" s="6" t="inlineStr">
        <is>
          <t>Provisional</t>
        </is>
      </c>
      <c r="H45" s="8" t="inlineStr">
        <is>
          <t>&lt;=1.65 m2 @ ClA 4.0 (pkg L/D &gt;=2.5)</t>
        </is>
      </c>
      <c r="I45" s="7" t="inlineStr">
        <is>
          <t>Scales with ClA: CdA &lt;= 0.95+(ClA-1.30)/2.5. Drag -24.3 pts/m2 at target (endurance cap tightens). run_aero_targets.m, Jul 2026.</t>
        </is>
      </c>
    </row>
    <row r="46" ht="15" customHeight="1">
      <c r="A46" s="9" t="n">
        <v>38</v>
      </c>
      <c r="B46" s="10" t="inlineStr">
        <is>
          <t>Aero balance (% front)</t>
        </is>
      </c>
      <c r="C46" s="10" t="inlineStr">
        <is>
          <t>Aero, Suspension</t>
        </is>
      </c>
      <c r="D46" s="10" t="inlineStr">
        <is>
          <t>Handling + lap sim</t>
        </is>
      </c>
      <c r="E46" s="9" t="inlineStr">
        <is>
          <t>Mid</t>
        </is>
      </c>
      <c r="F46" s="9" t="inlineStr">
        <is>
          <t>High</t>
        </is>
      </c>
      <c r="G46" s="9" t="inlineStr">
        <is>
          <t>Provisional</t>
        </is>
      </c>
      <c r="H46" s="11" t="inlineStr">
        <is>
          <t>0.35-0.42 front DF (CoP at/just aft static split)</t>
        </is>
      </c>
      <c r="I46" s="10" t="inlineStr">
        <is>
          <t>MODEL LIVE: run_balance_targets.m (axle_grip mid-tier). Band = front-limited at 95% v_max @ ClA 4, LLTD 0.60, &lt;=2% grip cost. Companion: LLTD rec 0.58-0.62 (neutral 0.57). Supersedes hand-waved 35-45%. Jul 2026.</t>
        </is>
      </c>
    </row>
    <row r="47" ht="15" customHeight="1">
      <c r="A47" s="6" t="n">
        <v>39</v>
      </c>
      <c r="B47" s="7" t="inlineStr">
        <is>
          <t>Ride-height sensitivity targets</t>
        </is>
      </c>
      <c r="C47" s="7" t="inlineStr">
        <is>
          <t>Aero, Suspension</t>
        </is>
      </c>
      <c r="D47" s="7" t="inlineStr">
        <is>
          <t>Lap sim + aero map</t>
        </is>
      </c>
      <c r="E47" s="6" t="inlineStr">
        <is>
          <t>Mid</t>
        </is>
      </c>
      <c r="F47" s="6" t="inlineStr">
        <is>
          <t>Med</t>
        </is>
      </c>
      <c r="G47" s="6" t="inlineStr">
        <is>
          <t>Not started</t>
        </is>
      </c>
      <c r="H47" s="8" t="n"/>
      <c r="I47" s="7" t="n"/>
    </row>
    <row r="48" ht="15" customHeight="1">
      <c r="A48" s="9" t="n">
        <v>40</v>
      </c>
      <c r="B48" s="10" t="inlineStr">
        <is>
          <t>Aero efficiency target (L/D)</t>
        </is>
      </c>
      <c r="C48" s="10" t="inlineStr">
        <is>
          <t>Aero</t>
        </is>
      </c>
      <c r="D48" s="10" t="inlineStr">
        <is>
          <t>Lap sim tradeoff</t>
        </is>
      </c>
      <c r="E48" s="9" t="inlineStr">
        <is>
          <t>Mid</t>
        </is>
      </c>
      <c r="F48" s="9" t="inlineStr">
        <is>
          <t>Med</t>
        </is>
      </c>
      <c r="G48" s="9" t="inlineStr">
        <is>
          <t>Provisional</t>
        </is>
      </c>
      <c r="H48" s="11" t="inlineStr">
        <is>
          <t>device L/D &gt;= 2 (abs floor 1.7 incl 4 kg/m2 mass)</t>
        </is>
      </c>
      <c r="I48" s="10" t="inlineStr">
        <is>
          <t>Floor RISES with total ClA (drag-only marginal 1.44 @ ClA 4). Mass rate -0.60 pts/kg. See organization/aero_component_targets.xlsx. Jul 2026.</t>
        </is>
      </c>
    </row>
    <row r="49" ht="19.5" customHeight="1">
      <c r="A49" s="2" t="inlineStr">
        <is>
          <t>6. Powertrain &amp; Energy</t>
        </is>
      </c>
      <c r="B49" s="22" t="n"/>
      <c r="C49" s="22" t="n"/>
      <c r="D49" s="22" t="n"/>
      <c r="E49" s="22" t="n"/>
      <c r="F49" s="22" t="n"/>
      <c r="G49" s="22" t="n"/>
      <c r="H49" s="22" t="n"/>
      <c r="I49" s="23" t="n"/>
    </row>
    <row r="50" ht="15" customHeight="1">
      <c r="A50" s="9" t="n">
        <v>41</v>
      </c>
      <c r="B50" s="10" t="inlineStr">
        <is>
          <t>Final drive / gear ratio</t>
        </is>
      </c>
      <c r="C50" s="10" t="inlineStr">
        <is>
          <t>Powertrain</t>
        </is>
      </c>
      <c r="D50" s="10" t="inlineStr">
        <is>
          <t>Lap sim (accel vs top speed)</t>
        </is>
      </c>
      <c r="E50" s="9" t="inlineStr">
        <is>
          <t>Early-Mid</t>
        </is>
      </c>
      <c r="F50" s="9" t="inlineStr">
        <is>
          <t>High</t>
        </is>
      </c>
      <c r="G50" s="9" t="inlineStr">
        <is>
          <t>Not started</t>
        </is>
      </c>
      <c r="H50" s="11" t="n"/>
      <c r="I50" s="10" t="n"/>
    </row>
    <row r="51" ht="15" customHeight="1">
      <c r="A51" s="6" t="n">
        <v>42</v>
      </c>
      <c r="B51" s="7" t="inlineStr">
        <is>
          <t>Motor torque/power requirement</t>
        </is>
      </c>
      <c r="C51" s="7" t="inlineStr">
        <is>
          <t>Powertrain</t>
        </is>
      </c>
      <c r="D51" s="7" t="inlineStr">
        <is>
          <t>Lap sim + g-g (traction limit)</t>
        </is>
      </c>
      <c r="E51" s="6" t="inlineStr">
        <is>
          <t>Early</t>
        </is>
      </c>
      <c r="F51" s="6" t="inlineStr">
        <is>
          <t>High</t>
        </is>
      </c>
      <c r="G51" s="6" t="inlineStr">
        <is>
          <t>Provisional</t>
        </is>
      </c>
      <c r="H51" s="8" t="inlineStr">
        <is>
          <t>Emrax 228, 3.82:1, 62.7 kW (pack)</t>
        </is>
      </c>
      <c r="I51" s="7" t="inlineStr">
        <is>
          <t>Emrax 228 MV, 220 Nm peak (confirmed by inverter testing, Omeed Jul 2026). 80 kW rules cap NOT binding: pack limits power to 62.7 kW at nominal 298.8 V x 210 A (73.2 kW at full charge; sags with SoC). Crossover ~15 m/s. Gearing 3.82:1 gives 3698 N at patch vs ~3600 N traction limit - still traction-matched. Rotor inertia in params; k_rot=1.112 (CAD wheel inertia incl tire).</t>
        </is>
      </c>
    </row>
    <row r="52" ht="15" customHeight="1">
      <c r="A52" s="9" t="n">
        <v>43</v>
      </c>
      <c r="B52" s="10" t="inlineStr">
        <is>
          <t>Energy per lap / endurance budget</t>
        </is>
      </c>
      <c r="C52" s="10" t="inlineStr">
        <is>
          <t>Battery, Mgmt</t>
        </is>
      </c>
      <c r="D52" s="10" t="inlineStr">
        <is>
          <t>Energy model + lap sim</t>
        </is>
      </c>
      <c r="E52" s="9" t="inlineStr">
        <is>
          <t>Early-Mid</t>
        </is>
      </c>
      <c r="F52" s="9" t="inlineStr">
        <is>
          <t>High</t>
        </is>
      </c>
      <c r="G52" s="30" t="inlineStr">
        <is>
          <t>Provisional</t>
        </is>
      </c>
      <c r="H52" s="31" t="inlineStr">
        <is>
          <t>426 Wh/lap full pace; ~208 @ 25 kW cap</t>
        </is>
      </c>
      <c r="I52" s="32" t="inlineStr">
        <is>
          <t>QSS energy on the real 2026 endurance course (964 m, corrected scale). Full 62.7 kW: 426 Wh/lap no-regen. At the recommended 25 kW cap w/ regen (50%x65%): ~208 Wh/lap. See run_energy_strategy.m + plots/energy_strategy.png.</t>
        </is>
      </c>
    </row>
    <row r="53" ht="15" customHeight="1">
      <c r="A53" s="6" t="n">
        <v>44</v>
      </c>
      <c r="B53" s="7" t="inlineStr">
        <is>
          <t>Power-limit deployment strategy</t>
        </is>
      </c>
      <c r="C53" s="7" t="inlineStr">
        <is>
          <t>Powertrain, Controls</t>
        </is>
      </c>
      <c r="D53" s="7" t="inlineStr">
        <is>
          <t>Lap sim (power vs traction zones)</t>
        </is>
      </c>
      <c r="E53" s="6" t="inlineStr">
        <is>
          <t>Mid</t>
        </is>
      </c>
      <c r="F53" s="6" t="inlineStr">
        <is>
          <t>Med</t>
        </is>
      </c>
      <c r="G53" s="6" t="inlineStr">
        <is>
          <t>Provisional</t>
        </is>
      </c>
      <c r="H53" s="8" t="inlineStr">
        <is>
          <t>25-28 kW endurance cap + regen</t>
        </is>
      </c>
      <c r="I53" s="7" t="inlineStr">
        <is>
          <t>DELIVERED STRATEGY: regen is REQUIRED (without it margin-safe cap is 20 kW, +5 s/lap). With 50%x65% regen: cap 25-28 kW -&gt; 4.7-5.2 kWh for 22 km vs 5.65 usable, ~+3 s/lap. Worth ~+210 pts (endurance+efficiency vs DNF). Mean current at cap ~85-100 A = consistent with 100 A main fuse. Consumers: VCU torque map (controls), BMS SOC window (electrical). Re-run after pack load test + regen implementation.</t>
        </is>
      </c>
    </row>
    <row r="54" ht="15" customHeight="1">
      <c r="A54" s="9" t="n">
        <v>45</v>
      </c>
      <c r="B54" s="10" t="inlineStr">
        <is>
          <t>Regen braking torque target</t>
        </is>
      </c>
      <c r="C54" s="10" t="inlineStr">
        <is>
          <t>Powertrain, Brakes</t>
        </is>
      </c>
      <c r="D54" s="10" t="inlineStr">
        <is>
          <t>Energy + brake balance model</t>
        </is>
      </c>
      <c r="E54" s="9" t="inlineStr">
        <is>
          <t>Mid</t>
        </is>
      </c>
      <c r="F54" s="9" t="inlineStr">
        <is>
          <t>Med</t>
        </is>
      </c>
      <c r="G54" s="9" t="inlineStr">
        <is>
          <t>Not started</t>
        </is>
      </c>
      <c r="H54" s="11" t="n"/>
      <c r="I54" s="10" t="n"/>
    </row>
    <row r="55" ht="15" customHeight="1">
      <c r="A55" s="6" t="n">
        <v>46</v>
      </c>
      <c r="B55" s="7" t="inlineStr">
        <is>
          <t>Traction- vs power-limited map</t>
        </is>
      </c>
      <c r="C55" s="7" t="inlineStr">
        <is>
          <t>Controls</t>
        </is>
      </c>
      <c r="D55" s="7" t="inlineStr">
        <is>
          <t>g-g-V + lap sim</t>
        </is>
      </c>
      <c r="E55" s="6" t="inlineStr">
        <is>
          <t>Mid</t>
        </is>
      </c>
      <c r="F55" s="6" t="inlineStr">
        <is>
          <t>Med</t>
        </is>
      </c>
      <c r="G55" s="6" t="inlineStr">
        <is>
          <t>Not started</t>
        </is>
      </c>
      <c r="H55" s="8" t="n"/>
      <c r="I55" s="7" t="n"/>
    </row>
    <row r="56" ht="15" customHeight="1">
      <c r="A56" s="9" t="n">
        <v>47</v>
      </c>
      <c r="B56" s="10" t="inlineStr">
        <is>
          <t>Top speed requirement</t>
        </is>
      </c>
      <c r="C56" s="10" t="inlineStr">
        <is>
          <t>Powertrain</t>
        </is>
      </c>
      <c r="D56" s="10" t="inlineStr">
        <is>
          <t>Lap sim per track</t>
        </is>
      </c>
      <c r="E56" s="9" t="inlineStr">
        <is>
          <t>Early</t>
        </is>
      </c>
      <c r="F56" s="9" t="inlineStr">
        <is>
          <t>High</t>
        </is>
      </c>
      <c r="G56" s="9" t="inlineStr">
        <is>
          <t>Provisional</t>
        </is>
      </c>
      <c r="H56" s="11" t="inlineStr">
        <is>
          <t>30.2 m/s (67 mph)</t>
        </is>
      </c>
      <c r="I56" s="10" t="inlineStr">
        <is>
          <t>Rev-limited: Emrax 228 at 5500 rpm through 3.82:1 = 30.2 m/s. Caps straights &amp; accel v_end. 6500 rpm peak (few s) would give ~35 m/s. Confirm software rev limit with powertrain.</t>
        </is>
      </c>
    </row>
    <row r="57" ht="19.5" customHeight="1">
      <c r="A57" s="2" t="inlineStr">
        <is>
          <t>7. Brakes</t>
        </is>
      </c>
      <c r="B57" s="22" t="n"/>
      <c r="C57" s="22" t="n"/>
      <c r="D57" s="22" t="n"/>
      <c r="E57" s="22" t="n"/>
      <c r="F57" s="22" t="n"/>
      <c r="G57" s="22" t="n"/>
      <c r="H57" s="22" t="n"/>
      <c r="I57" s="23" t="n"/>
    </row>
    <row r="58" ht="88.5" customHeight="1">
      <c r="A58" s="9" t="n">
        <v>48</v>
      </c>
      <c r="B58" s="10" t="inlineStr">
        <is>
          <t>Brake bias (% front)</t>
        </is>
      </c>
      <c r="C58" s="10" t="inlineStr">
        <is>
          <t>Brakes</t>
        </is>
      </c>
      <c r="D58" s="10" t="inlineStr">
        <is>
          <t>Load transfer + mu model</t>
        </is>
      </c>
      <c r="E58" s="9" t="inlineStr">
        <is>
          <t>Mid</t>
        </is>
      </c>
      <c r="F58" s="9" t="inlineStr">
        <is>
          <t>High</t>
        </is>
      </c>
      <c r="G58" s="24" t="inlineStr">
        <is>
          <t>Provisional</t>
        </is>
      </c>
      <c r="H58" s="25" t="inlineStr">
        <is>
          <t>74.0% front (start)</t>
        </is>
      </c>
      <c r="I58" s="26" t="inlineStr">
        <is>
          <t>RE-ISSUED 2026-07-12 on the REAL driver envelope. chi_f + mu_x*h/L at mu_x=1.512 (180 lb design driver). Envelope 73.9-74.5% across 125-200 lb drivers - driver mass is a negligible influence on bias.</t>
        </is>
      </c>
    </row>
    <row r="59" ht="15" customHeight="1">
      <c r="A59" s="6" t="n">
        <v>49</v>
      </c>
      <c r="B59" s="7" t="inlineStr">
        <is>
          <t>Peak deceleration target (g)</t>
        </is>
      </c>
      <c r="C59" s="7" t="inlineStr">
        <is>
          <t>Brakes</t>
        </is>
      </c>
      <c r="D59" s="7" t="inlineStr">
        <is>
          <t>g-g (longitudinal)</t>
        </is>
      </c>
      <c r="E59" s="6" t="inlineStr">
        <is>
          <t>Early-Mid</t>
        </is>
      </c>
      <c r="F59" s="6" t="inlineStr">
        <is>
          <t>High</t>
        </is>
      </c>
      <c r="G59" s="24" t="inlineStr">
        <is>
          <t>Provisional</t>
        </is>
      </c>
      <c r="H59" s="25" t="inlineStr">
        <is>
          <t>1.38 g low-v (was 1.58)</t>
        </is>
      </c>
      <c r="I59" s="26" t="inlineStr">
        <is>
          <t>RE-ISSUED 2026-07-11 on CURVE basis (Pacejka MF via build_tire_coeffs), replacing the 99th-percentile envelope. g-g brake = (mu_x + Crr + driveline)/k_rot, k_rot=1.112, at mu_x=1.515. Drops from 1.58 g to 1.38 g near static. The ~1.9 g aero-loaded figure must be RE-RUN (run_gg_targets) - it needs the envelope solver, not a closed form. Point mass; brakes assumed sized to lock.</t>
        </is>
      </c>
    </row>
    <row r="60" ht="15" customHeight="1">
      <c r="A60" s="9" t="n">
        <v>50</v>
      </c>
      <c r="B60" s="10" t="inlineStr">
        <is>
          <t>Brake torque requirement</t>
        </is>
      </c>
      <c r="C60" s="10" t="inlineStr">
        <is>
          <t>Brakes</t>
        </is>
      </c>
      <c r="D60" s="10" t="inlineStr">
        <is>
          <t>Load transfer + tire mu</t>
        </is>
      </c>
      <c r="E60" s="9" t="inlineStr">
        <is>
          <t>Mid</t>
        </is>
      </c>
      <c r="F60" s="9" t="inlineStr">
        <is>
          <t>High</t>
        </is>
      </c>
      <c r="G60" s="9" t="inlineStr">
        <is>
          <t>Not started</t>
        </is>
      </c>
      <c r="H60" s="11" t="n"/>
      <c r="I60" s="10" t="n"/>
    </row>
    <row r="61" ht="15" customHeight="1">
      <c r="A61" s="6" t="n">
        <v>51</v>
      </c>
      <c r="B61" s="7" t="inlineStr">
        <is>
          <t>Regen/friction blend split</t>
        </is>
      </c>
      <c r="C61" s="7" t="inlineStr">
        <is>
          <t>Brakes, Powertrain</t>
        </is>
      </c>
      <c r="D61" s="7" t="inlineStr">
        <is>
          <t>Energy + balance model</t>
        </is>
      </c>
      <c r="E61" s="6" t="inlineStr">
        <is>
          <t>Mid</t>
        </is>
      </c>
      <c r="F61" s="6" t="inlineStr">
        <is>
          <t>Med</t>
        </is>
      </c>
      <c r="G61" s="6" t="inlineStr">
        <is>
          <t>Not started</t>
        </is>
      </c>
      <c r="H61" s="8" t="n"/>
      <c r="I61" s="7" t="n"/>
    </row>
    <row r="62" ht="19.5" customHeight="1">
      <c r="A62" s="2" t="inlineStr">
        <is>
          <t>8. Steering</t>
        </is>
      </c>
      <c r="B62" s="22" t="n"/>
      <c r="C62" s="22" t="n"/>
      <c r="D62" s="22" t="n"/>
      <c r="E62" s="22" t="n"/>
      <c r="F62" s="22" t="n"/>
      <c r="G62" s="22" t="n"/>
      <c r="H62" s="22" t="n"/>
      <c r="I62" s="23" t="n"/>
    </row>
    <row r="63" ht="15" customHeight="1">
      <c r="A63" s="6" t="n">
        <v>52</v>
      </c>
      <c r="B63" s="7" t="inlineStr">
        <is>
          <t>Steering ratio</t>
        </is>
      </c>
      <c r="C63" s="7" t="inlineStr">
        <is>
          <t>Steering</t>
        </is>
      </c>
      <c r="D63" s="7" t="inlineStr">
        <is>
          <t>Handling + driver model</t>
        </is>
      </c>
      <c r="E63" s="6" t="inlineStr">
        <is>
          <t>Mid</t>
        </is>
      </c>
      <c r="F63" s="6" t="inlineStr">
        <is>
          <t>Med</t>
        </is>
      </c>
      <c r="G63" s="6" t="inlineStr">
        <is>
          <t>Not started</t>
        </is>
      </c>
      <c r="H63" s="8" t="n"/>
      <c r="I63" s="7" t="n"/>
    </row>
    <row r="64" ht="15" customHeight="1">
      <c r="A64" s="9" t="n">
        <v>53</v>
      </c>
      <c r="B64" s="10" t="inlineStr">
        <is>
          <t>Ackermann geometry</t>
        </is>
      </c>
      <c r="C64" s="10" t="inlineStr">
        <is>
          <t>Steering</t>
        </is>
      </c>
      <c r="D64" s="10" t="inlineStr">
        <is>
          <t>Kinematics + TTC</t>
        </is>
      </c>
      <c r="E64" s="9" t="inlineStr">
        <is>
          <t>Mid</t>
        </is>
      </c>
      <c r="F64" s="9" t="inlineStr">
        <is>
          <t>Med</t>
        </is>
      </c>
      <c r="G64" s="9" t="inlineStr">
        <is>
          <t>Not started</t>
        </is>
      </c>
      <c r="H64" s="11" t="n"/>
      <c r="I64" s="10" t="n"/>
    </row>
    <row r="65" ht="15" customHeight="1">
      <c r="A65" s="6" t="n">
        <v>54</v>
      </c>
      <c r="B65" s="7" t="inlineStr">
        <is>
          <t>Steering effort / rack force</t>
        </is>
      </c>
      <c r="C65" s="7" t="inlineStr">
        <is>
          <t>Steering</t>
        </is>
      </c>
      <c r="D65" s="26" t="inlineStr">
        <is>
          <t>aligning_moment.m (T-MZ)</t>
        </is>
      </c>
      <c r="E65" s="6" t="inlineStr">
        <is>
          <t>Mid</t>
        </is>
      </c>
      <c r="F65" s="6" t="inlineStr">
        <is>
          <t>Med</t>
        </is>
      </c>
      <c r="G65" s="24" t="inlineStr">
        <is>
          <t>Provisional</t>
        </is>
      </c>
      <c r="H65" s="25" t="inlineStr">
        <is>
          <t>Mz ~52-70 N*m/tire (track band), belt 77.5 N*m rack-sizing upper bound @303 lbf. Pneumatic trail = diagnostic curve only, not a target</t>
        </is>
      </c>
      <c r="I65" s="26" t="inlineStr">
        <is>
          <t>DELIVERED 2026-07-15 via aligning_moment.m. Front-outer design load 303 lbf (axle_grip, low-speed limit ay 1.46g) = steering worst case. PEAK self-aligning torque/front tire: belt 77.5 N*m (rack-sizing upper bound), track band 52-70 N*m (mu_derate 0.67 grip-limited .. lambda_Ca 0.90 low-slip). TRAIL: no single trail number is delivered as a target - the caster work (#20) uses the FULL measured trail(alpha) curve. A single "initial trail" is 0/0 at alpha-&gt;0 (noisy) and any operating-band pick (1-3 deg ~40 mm) is reported only as a DIAGNOSTIC. Canonical way to get a real initial trail if ever needed: fit the Pacejka cosine-form trail Magic Formula t(a)=Dt*cos[...] and read Dt (peak), or brush model t0 ~ (1/3..1/2)*half-contact-length (needs contact geometry). Trail collapses to ~0 by the limit -&gt; at-limit torque is MECHANICAL trail (caster) only. SCALING (literature-checked): pneumatic-trail lambda_t=1.0 (Pacejka baseline; trail=aligning/cornering stiffness, both structural, ratio ~surface-invariant). EXTRAPOLATION: Mz(Fz) fit evaluated at 303 lbf is only +8% past the furthest MEASURED load (281 lbf) - short, smooth; or take peak measured Mz + margin and skip it. Donor borrowing NOT used (cross-tire Mz shape scatters ~8-10%). Load model is MID-TIER and will move +/-10-20% with real roll-stiffness distribution + aero balance -&gt; re-issue then. Rack force = torque / steering arm (steering subteam geometry).</t>
        </is>
      </c>
    </row>
    <row r="66" ht="15" customHeight="1">
      <c r="A66" s="9" t="n">
        <v>55</v>
      </c>
      <c r="B66" s="10" t="inlineStr">
        <is>
          <t>Bump steer limits (shared)</t>
        </is>
      </c>
      <c r="C66" s="10" t="inlineStr">
        <is>
          <t>Steering</t>
        </is>
      </c>
      <c r="D66" s="10" t="inlineStr">
        <is>
          <t>Kinematics</t>
        </is>
      </c>
      <c r="E66" s="9" t="inlineStr">
        <is>
          <t>Mid</t>
        </is>
      </c>
      <c r="F66" s="9" t="inlineStr">
        <is>
          <t>High</t>
        </is>
      </c>
      <c r="G66" s="9" t="inlineStr">
        <is>
          <t>Not started</t>
        </is>
      </c>
      <c r="H66" s="11" t="n"/>
      <c r="I66" s="10" t="n"/>
    </row>
    <row r="67" ht="19.5" customHeight="1">
      <c r="A67" s="2" t="inlineStr">
        <is>
          <t>9. Controls / EV-Specific (differentiators)</t>
        </is>
      </c>
      <c r="B67" s="22" t="n"/>
      <c r="C67" s="22" t="n"/>
      <c r="D67" s="22" t="n"/>
      <c r="E67" s="22" t="n"/>
      <c r="F67" s="22" t="n"/>
      <c r="G67" s="22" t="n"/>
      <c r="H67" s="22" t="n"/>
      <c r="I67" s="23" t="n"/>
    </row>
    <row r="68" ht="15" customHeight="1">
      <c r="A68" s="9" t="n">
        <v>56</v>
      </c>
      <c r="B68" s="10" t="inlineStr">
        <is>
          <t>Torque vectoring yaw-rate targets</t>
        </is>
      </c>
      <c r="C68" s="10" t="inlineStr">
        <is>
          <t>Controls</t>
        </is>
      </c>
      <c r="D68" s="10" t="inlineStr">
        <is>
          <t>Transient handling + reference model</t>
        </is>
      </c>
      <c r="E68" s="9" t="inlineStr">
        <is>
          <t>Mid-Late</t>
        </is>
      </c>
      <c r="F68" s="9" t="inlineStr">
        <is>
          <t>Med</t>
        </is>
      </c>
      <c r="G68" s="9" t="inlineStr">
        <is>
          <t>Not started</t>
        </is>
      </c>
      <c r="H68" s="11" t="n"/>
      <c r="I68" s="10" t="n"/>
    </row>
    <row r="69" ht="15" customHeight="1">
      <c r="A69" s="6" t="n">
        <v>57</v>
      </c>
      <c r="B69" s="7" t="inlineStr">
        <is>
          <t>TC slip-ratio targets</t>
        </is>
      </c>
      <c r="C69" s="7" t="inlineStr">
        <is>
          <t>Controls</t>
        </is>
      </c>
      <c r="D69" s="7" t="inlineStr">
        <is>
          <t>Tire model + transient sim</t>
        </is>
      </c>
      <c r="E69" s="6" t="inlineStr">
        <is>
          <t>Mid-Late</t>
        </is>
      </c>
      <c r="F69" s="6" t="inlineStr">
        <is>
          <t>Med</t>
        </is>
      </c>
      <c r="G69" s="6" t="inlineStr">
        <is>
          <t>Not started</t>
        </is>
      </c>
      <c r="H69" s="8" t="n"/>
      <c r="I69" s="7" t="n"/>
    </row>
    <row r="70" ht="15" customHeight="1">
      <c r="A70" s="9" t="n">
        <v>58</v>
      </c>
      <c r="B70" s="10" t="inlineStr">
        <is>
          <t>Yaw-rate / sideslip reference maps</t>
        </is>
      </c>
      <c r="C70" s="10" t="inlineStr">
        <is>
          <t>Controls</t>
        </is>
      </c>
      <c r="D70" s="10" t="inlineStr">
        <is>
          <t>Steady-state + transient handling</t>
        </is>
      </c>
      <c r="E70" s="9" t="inlineStr">
        <is>
          <t>Late</t>
        </is>
      </c>
      <c r="F70" s="9" t="inlineStr">
        <is>
          <t>Med</t>
        </is>
      </c>
      <c r="G70" s="9" t="inlineStr">
        <is>
          <t>Not started</t>
        </is>
      </c>
      <c r="H70" s="11" t="n"/>
      <c r="I70" s="10" t="n"/>
    </row>
    <row r="71" ht="15" customHeight="1">
      <c r="A71" s="6" t="n">
        <v>59</v>
      </c>
      <c r="B71" s="7" t="inlineStr">
        <is>
          <t>Launch/traction control calibration</t>
        </is>
      </c>
      <c r="C71" s="7" t="inlineStr">
        <is>
          <t>Controls</t>
        </is>
      </c>
      <c r="D71" s="7" t="inlineStr">
        <is>
          <t>g-g + transient sim</t>
        </is>
      </c>
      <c r="E71" s="6" t="inlineStr">
        <is>
          <t>Late</t>
        </is>
      </c>
      <c r="F71" s="6" t="inlineStr">
        <is>
          <t>Low</t>
        </is>
      </c>
      <c r="G71" s="6" t="inlineStr">
        <is>
          <t>Not started</t>
        </is>
      </c>
      <c r="H71" s="8" t="n"/>
      <c r="I71" s="7" t="n"/>
    </row>
    <row r="72" ht="15" customHeight="1">
      <c r="A72" s="9" t="n">
        <v>60</v>
      </c>
      <c r="B72" s="10" t="inlineStr">
        <is>
          <t>Power-limit / torque-map shaping</t>
        </is>
      </c>
      <c r="C72" s="10" t="inlineStr">
        <is>
          <t>Controls</t>
        </is>
      </c>
      <c r="D72" s="10" t="inlineStr">
        <is>
          <t>Lap sim + energy</t>
        </is>
      </c>
      <c r="E72" s="9" t="inlineStr">
        <is>
          <t>Mid-Late</t>
        </is>
      </c>
      <c r="F72" s="9" t="inlineStr">
        <is>
          <t>Med</t>
        </is>
      </c>
      <c r="G72" s="9" t="inlineStr">
        <is>
          <t>Not started</t>
        </is>
      </c>
      <c r="H72" s="11" t="n"/>
      <c r="I72" s="10" t="n"/>
    </row>
    <row r="73" ht="19.5" customHeight="1">
      <c r="A73" s="2" t="inlineStr">
        <is>
          <t>10. Whole-Vehicle KPIs (scoreboard)</t>
        </is>
      </c>
      <c r="B73" s="22" t="n"/>
      <c r="C73" s="22" t="n"/>
      <c r="D73" s="22" t="n"/>
      <c r="E73" s="22" t="n"/>
      <c r="F73" s="22" t="n"/>
      <c r="G73" s="22" t="n"/>
      <c r="H73" s="22" t="n"/>
      <c r="I73" s="23" t="n"/>
    </row>
    <row r="74" ht="109.5" customHeight="1">
      <c r="A74" s="9" t="n">
        <v>61</v>
      </c>
      <c r="B74" s="10" t="inlineStr">
        <is>
          <t>Predicted lap time (per track)</t>
        </is>
      </c>
      <c r="C74" s="10" t="inlineStr">
        <is>
          <t>Mgmt / Judging</t>
        </is>
      </c>
      <c r="D74" s="10" t="inlineStr">
        <is>
          <t>Lap sim</t>
        </is>
      </c>
      <c r="E74" s="9" t="inlineStr">
        <is>
          <t>Early</t>
        </is>
      </c>
      <c r="F74" s="9" t="inlineStr">
        <is>
          <t>High</t>
        </is>
      </c>
      <c r="G74" s="30" t="inlineStr">
        <is>
          <t>Provisional</t>
        </is>
      </c>
      <c r="H74" s="31" t="inlineStr">
        <is>
          <t>Endurance 68.7 s / autocross 45.0 s (axle, load-sensitive lateral limit = new default). Point-mass model was ~4.4% optimistic (endurance 65.7 s).</t>
        </is>
      </c>
      <c r="I74" s="32" t="inlineStr">
        <is>
          <t>UPGRADED 2026-07-19: lap sim lateral limit now routes through ay_limit.m (p.grip_model). Default "axle" = load-sensitive per-axle grip (accounts for grip LOST to lateral load transfer, ay_lim ~0.88-0.90*mu_y); "pointmass" reproduces the old constant-mu lap for comparison. Longitudinal edges (accel/brake) still point-mass - this step is lateral-only. Numbers Python-validated (axle ay 1.44-1.53g vs point-mass 1.61-1.74g); RUN lap_report / run_lap_targets in MATLAB to confirm and promote. lap_report prints both model times side by side.</t>
        </is>
      </c>
    </row>
    <row r="75" ht="112" customHeight="1">
      <c r="A75" s="6" t="n">
        <v>62</v>
      </c>
      <c r="B75" s="7" t="inlineStr">
        <is>
          <t>Skidpad lateral g</t>
        </is>
      </c>
      <c r="C75" s="7" t="inlineStr">
        <is>
          <t>Mgmt / Judging</t>
        </is>
      </c>
      <c r="D75" s="7" t="inlineStr">
        <is>
          <t>g-g + handling</t>
        </is>
      </c>
      <c r="E75" s="6" t="inlineStr">
        <is>
          <t>Mid</t>
        </is>
      </c>
      <c r="F75" s="6" t="inlineStr">
        <is>
          <t>High</t>
        </is>
      </c>
      <c r="G75" s="24" t="inlineStr">
        <is>
          <t>Provisional</t>
        </is>
      </c>
      <c r="H75" s="25" t="inlineStr">
        <is>
          <t>1.62 g / 4.76 s (still OPTIMISTIC)</t>
        </is>
      </c>
      <c r="I75" s="26" t="inlineStr">
        <is>
          <t>RE-ISSUED 2026-07-11 on CURVE basis (Pacejka MF via build_tire_coeffs), replacing the 99th-percentile envelope. Closed form at mu_y=1.565: 1.62 g / 4.76 s (was 1.81 g / 4.50 s). STILL OPTIMISTIC and still flagged: this is a point mass on a single peak mu, with NO lateral load transfer and no load-sensitive axle grip. The outer (loaded) tire makes less mu than the design-load value. The mid-tier axle-grip model will pull this down again. Do not quote 1.62 g as a prediction - quote it as a ceiling.</t>
        </is>
      </c>
    </row>
    <row r="76" ht="85" customHeight="1">
      <c r="A76" s="9" t="n">
        <v>63</v>
      </c>
      <c r="B76" s="10" t="inlineStr">
        <is>
          <t>Acceleration time (75 m)</t>
        </is>
      </c>
      <c r="C76" s="10" t="inlineStr">
        <is>
          <t>Mgmt / Judging</t>
        </is>
      </c>
      <c r="D76" s="10" t="inlineStr">
        <is>
          <t>Lap sim (longitudinal)</t>
        </is>
      </c>
      <c r="E76" s="9" t="inlineStr">
        <is>
          <t>Mid</t>
        </is>
      </c>
      <c r="F76" s="9" t="inlineStr">
        <is>
          <t>High</t>
        </is>
      </c>
      <c r="G76" s="30" t="inlineStr">
        <is>
          <t>Needs re-run</t>
        </is>
      </c>
      <c r="H76" s="31" t="inlineStr">
        <is>
          <t>STALE - do not quote</t>
        </is>
      </c>
      <c r="I76" s="32" t="inlineStr">
        <is>
          <t>*** MUST RE-RUN (run_gg_targets) *** Accel is traction-limited at low speed, so the 10% grip drop bites directly on the launch phase. The old 4.25 s is invalid. Needs the forward-Euler solver, not a closed form.</t>
        </is>
      </c>
    </row>
    <row r="77" ht="96.5" customHeight="1">
      <c r="A77" s="6" t="n">
        <v>64</v>
      </c>
      <c r="B77" s="7" t="inlineStr">
        <is>
          <t>Max lat/long g (g-g envelope)</t>
        </is>
      </c>
      <c r="C77" s="7" t="inlineStr">
        <is>
          <t>Mgmt / Judging</t>
        </is>
      </c>
      <c r="D77" s="7" t="inlineStr">
        <is>
          <t>g-g diagram</t>
        </is>
      </c>
      <c r="E77" s="6" t="inlineStr">
        <is>
          <t>Mid</t>
        </is>
      </c>
      <c r="F77" s="6" t="inlineStr">
        <is>
          <t>High</t>
        </is>
      </c>
      <c r="G77" s="24" t="inlineStr">
        <is>
          <t>Provisional</t>
        </is>
      </c>
      <c r="H77" s="25" t="inlineStr">
        <is>
          <t>lat 1.57 low-v; brake 1.38 low-v</t>
        </is>
      </c>
      <c r="I77" s="26" t="inlineStr">
        <is>
          <t>RE-ISSUED 2026-07-11 on CURVE basis (Pacejka MF via build_tire_coeffs), replacing the 99th-percentile envelope. Lateral at v=0 = mu_y = 1.565 (was 1.743); brake at v=0 = 1.38 g (was 1.58). The aero-loaded points (lateral ~2.0 g / brake ~1.9 g at 25 m/s) and the launch figure MUST BE RE-RUN via run_gg_targets - they come from the envelope solver, not a closed form.</t>
        </is>
      </c>
    </row>
    <row r="78" ht="15" customHeight="1">
      <c r="A78" s="9" t="n">
        <v>65</v>
      </c>
      <c r="B78" s="10" t="inlineStr">
        <is>
          <t>Endurance energy consumption</t>
        </is>
      </c>
      <c r="C78" s="10" t="inlineStr">
        <is>
          <t>Mgmt / Judging</t>
        </is>
      </c>
      <c r="D78" s="10" t="inlineStr">
        <is>
          <t>Energy model</t>
        </is>
      </c>
      <c r="E78" s="9" t="inlineStr">
        <is>
          <t>Mid</t>
        </is>
      </c>
      <c r="F78" s="9" t="inlineStr">
        <is>
          <t>High</t>
        </is>
      </c>
      <c r="G78" s="30" t="inlineStr">
        <is>
          <t>Provisional</t>
        </is>
      </c>
      <c r="H78" s="31" t="inlineStr">
        <is>
          <t>4.7-5.2 kWh @ 25-28 kW cap (feasible)</t>
        </is>
      </c>
      <c r="I78" s="32" t="inlineStr">
        <is>
          <t>Endurance is FEASIBLE with the derate+regen strategy (#44): 4.7-5.2 kWh for 22 km vs 5.65 kWh usable (90% window assumed - BMS setting pending). Full-pace no-regen 9.7 kWh = DNF. QSS optimistic-side; validate with pack load test and first endurance sim day.</t>
        </is>
      </c>
    </row>
    <row r="79" ht="15" customHeight="1">
      <c r="A79" s="6" t="n">
        <v>66</v>
      </c>
      <c r="B79" s="7" t="inlineStr">
        <is>
          <t>Balance / understeer gradient</t>
        </is>
      </c>
      <c r="C79" s="7" t="inlineStr">
        <is>
          <t>Mgmt / Judging</t>
        </is>
      </c>
      <c r="D79" s="7" t="inlineStr">
        <is>
          <t>Handling model</t>
        </is>
      </c>
      <c r="E79" s="6" t="inlineStr">
        <is>
          <t>Mid</t>
        </is>
      </c>
      <c r="F79" s="6" t="inlineStr">
        <is>
          <t>High</t>
        </is>
      </c>
      <c r="G79" s="27" t="inlineStr">
        <is>
          <t>Provisional</t>
        </is>
      </c>
      <c r="H79" s="28" t="inlineStr">
        <is>
          <t>K ~ -0.08 deg/g (near-neutral)</t>
        </is>
      </c>
      <c r="I79" s="29" t="inlineStr">
        <is>
          <t>TRACKER&lt;-&gt;CODE SYNC 2026-07-11: same as #34 - already produced by run_handling_targets, never logged. v_crit ~3.4x v_max; yaw overdamped, tau ~50-120 ms.</t>
        </is>
      </c>
    </row>
    <row r="80">
      <c r="A80" s="9" t="n">
        <v>67</v>
      </c>
      <c r="B80" s="10" t="inlineStr">
        <is>
          <t>Frame torsional stiffness requirement</t>
        </is>
      </c>
      <c r="C80" s="10" t="inlineStr">
        <is>
          <t>Chassis</t>
        </is>
      </c>
      <c r="D80" s="10" t="inlineStr">
        <is>
          <t>Roll stiffness distribution + literature</t>
        </is>
      </c>
      <c r="E80" s="9" t="inlineStr">
        <is>
          <t>Early-Mid</t>
        </is>
      </c>
      <c r="F80" s="9" t="inlineStr">
        <is>
          <t>High</t>
        </is>
      </c>
      <c r="G80" s="9" t="inlineStr">
        <is>
          <t>Provisional</t>
        </is>
      </c>
      <c r="H80" s="11" t="inlineStr">
        <is>
          <t>&gt;= 3-5x axle roll stiffness</t>
        </is>
      </c>
      <c r="I80" s="10" t="inlineStr">
        <is>
          <t>VD issues the REQUIREMENT, chassis designs to it: a compliant frame sits in series with the springs and dilutes roll-stiffness-distribution tuning (#30). Provisional multiple from literature (Deakin et al., FSAE); re-issue in N*m/deg once #30 roll stiffness targets exist.</t>
        </is>
      </c>
    </row>
    <row r="81">
      <c r="A81" s="9" t="n">
        <v>68</v>
      </c>
      <c r="B81" s="10" t="inlineStr">
        <is>
          <t>Tire vertical stiffness &amp; loaded radius</t>
        </is>
      </c>
      <c r="C81" s="10" t="inlineStr">
        <is>
          <t>Suspension (ride model)</t>
        </is>
      </c>
      <c r="D81" s="10" t="inlineStr">
        <is>
          <t>TTC fit (RL/RE vs FZ)</t>
        </is>
      </c>
      <c r="E81" s="9" t="inlineStr">
        <is>
          <t>Mid</t>
        </is>
      </c>
      <c r="F81" s="9" t="inlineStr">
        <is>
          <t>Med</t>
        </is>
      </c>
      <c r="G81" s="9" t="inlineStr">
        <is>
          <t>Not started</t>
        </is>
      </c>
      <c r="H81" s="11" t="n"/>
      <c r="I81" s="10" t="inlineStr">
        <is>
          <t>Extractable from existing TTC data: slope of load vs deflection (RL channel) at operating pressure. Feeds ride frequencies (#28) and wheel rates (#29); tire is the undamped spring in series.</t>
        </is>
      </c>
    </row>
  </sheetData>
  <mergeCells count="12">
    <mergeCell ref="A57:I57"/>
    <mergeCell ref="A43:I43"/>
    <mergeCell ref="A73:I73"/>
    <mergeCell ref="A2:I2"/>
    <mergeCell ref="A49:I49"/>
    <mergeCell ref="A19:I19"/>
    <mergeCell ref="A1:I1"/>
    <mergeCell ref="A67:I67"/>
    <mergeCell ref="A34:I34"/>
    <mergeCell ref="A12:I12"/>
    <mergeCell ref="A4:I4"/>
    <mergeCell ref="A62:I62"/>
  </mergeCells>
  <conditionalFormatting sqref="F4:F79">
    <cfRule type="cellIs" priority="7" operator="equal" dxfId="5">
      <formula>"High"</formula>
    </cfRule>
  </conditionalFormatting>
  <conditionalFormatting sqref="G4:G79">
    <cfRule type="cellIs" priority="2" operator="equal" dxfId="4">
      <formula>"Delivered"</formula>
    </cfRule>
    <cfRule type="cellIs" priority="3" operator="equal" dxfId="3">
      <formula>"Validated"</formula>
    </cfRule>
    <cfRule type="cellIs" priority="4" operator="equal" dxfId="2">
      <formula>"In progress"</formula>
    </cfRule>
    <cfRule type="cellIs" priority="5" operator="equal" dxfId="1">
      <formula>"Provisional"</formula>
    </cfRule>
    <cfRule type="cellIs" priority="6" operator="equal" dxfId="0">
      <formula>"Not started"</formula>
    </cfRule>
  </conditionalFormatting>
  <dataValidations count="3">
    <dataValidation sqref="G4:G79" showDropDown="0" showInputMessage="0" showErrorMessage="0" allowBlank="1" type="list">
      <formula1>"Not started,Provisional,In progress,Delivered,Validated"</formula1>
      <formula2>0</formula2>
    </dataValidation>
    <dataValidation sqref="F4:F79" showDropDown="0" showInputMessage="0" showErrorMessage="0" allowBlank="1" type="list">
      <formula1>"High,Med,Low"</formula1>
      <formula2>0</formula2>
    </dataValidation>
    <dataValidation sqref="E4:E79" showDropDown="0" showInputMessage="0" showErrorMessage="0" allowBlank="1" type="list">
      <formula1>"Early,Early-Mid,Mid,Mid-Late,Late"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42" customWidth="1" min="1" max="1"/>
    <col width="12" customWidth="1" min="2" max="2"/>
    <col width="10" customWidth="1" min="3" max="4"/>
  </cols>
  <sheetData>
    <row r="1" ht="27.75" customHeight="1">
      <c r="A1" s="1" t="inlineStr">
        <is>
          <t>Progress Dashboard</t>
        </is>
      </c>
    </row>
    <row r="3" ht="15" customHeight="1">
      <c r="A3" s="5" t="inlineStr">
        <is>
          <t>Status</t>
        </is>
      </c>
      <c r="B3" s="5" t="inlineStr">
        <is>
          <t>Count</t>
        </is>
      </c>
    </row>
    <row r="4" ht="15" customHeight="1">
      <c r="A4" s="12" t="inlineStr">
        <is>
          <t>Not started</t>
        </is>
      </c>
      <c r="B4" s="13">
        <f>COUNTIF('Target Tracker'!$G$4:$G$81,A4)</f>
        <v/>
      </c>
    </row>
    <row r="5" ht="15" customHeight="1">
      <c r="A5" s="12" t="inlineStr">
        <is>
          <t>Provisional</t>
        </is>
      </c>
      <c r="B5" s="13">
        <f>COUNTIF('Target Tracker'!$G$4:$G$81,A5)</f>
        <v/>
      </c>
    </row>
    <row r="6" ht="15" customHeight="1">
      <c r="A6" s="12" t="inlineStr">
        <is>
          <t>In progress</t>
        </is>
      </c>
      <c r="B6" s="13">
        <f>COUNTIF('Target Tracker'!$G$4:$G$81,A6)</f>
        <v/>
      </c>
    </row>
    <row r="7" ht="15" customHeight="1">
      <c r="A7" s="12" t="inlineStr">
        <is>
          <t>Delivered</t>
        </is>
      </c>
      <c r="B7" s="13">
        <f>COUNTIF('Target Tracker'!$G$4:$G$81,A7)</f>
        <v/>
      </c>
    </row>
    <row r="8" ht="15" customHeight="1">
      <c r="A8" s="12" t="inlineStr">
        <is>
          <t>Validated</t>
        </is>
      </c>
      <c r="B8" s="13">
        <f>COUNTIF('Target Tracker'!$G$4:$G$81,A8)</f>
        <v/>
      </c>
    </row>
    <row r="9" ht="15" customHeight="1">
      <c r="A9" s="14" t="inlineStr">
        <is>
          <t>TOTAL</t>
        </is>
      </c>
      <c r="B9" s="15">
        <f>SUM(B4:B8)</f>
        <v/>
      </c>
    </row>
    <row r="11" ht="15" customHeight="1">
      <c r="A11" s="16" t="inlineStr">
        <is>
          <t>% Delivered or Validated</t>
        </is>
      </c>
      <c r="B11" s="17">
        <f>(COUNTIF('Target Tracker'!$G$4:$G$81,"Delivered")+COUNTIF('Target Tracker'!$G$4:$G$81,"Validated"))/B9</f>
        <v/>
      </c>
    </row>
    <row r="13" ht="15" customHeight="1">
      <c r="A13" s="16" t="inlineStr">
        <is>
          <t>High-priority targets outstanding (not Delivered/Validated)</t>
        </is>
      </c>
    </row>
    <row r="14" ht="15" customHeight="1">
      <c r="A14" s="18" t="inlineStr">
        <is>
          <t>Count</t>
        </is>
      </c>
      <c r="B14" s="19">
        <f>COUNTIFS('Target Tracker'!$F$4:$F$81,"High",'Target Tracker'!$G$4:$G$81,"&lt;&gt;Delivered",'Target Tracker'!$G$4:$G$81,"&lt;&gt;Validated")</f>
        <v/>
      </c>
    </row>
    <row r="16" ht="15" customHeight="1">
      <c r="A16" s="16" t="inlineStr">
        <is>
          <t>By freeze stage (how urgent)</t>
        </is>
      </c>
    </row>
    <row r="17" ht="15" customHeight="1">
      <c r="A17" s="5" t="inlineStr">
        <is>
          <t>Freeze stage</t>
        </is>
      </c>
      <c r="B17" s="5" t="inlineStr">
        <is>
          <t>Total</t>
        </is>
      </c>
      <c r="C17" s="5" t="inlineStr">
        <is>
          <t>Done</t>
        </is>
      </c>
    </row>
    <row r="18" ht="15" customHeight="1">
      <c r="A18" s="12" t="inlineStr">
        <is>
          <t>Early</t>
        </is>
      </c>
      <c r="B18" s="13">
        <f>COUNTIF('Target Tracker'!$E$4:$E$81,A18)</f>
        <v/>
      </c>
      <c r="C18" s="13">
        <f>COUNTIFS('Target Tracker'!$E$4:$E$81,A18,'Target Tracker'!$G$4:$G$81,"Delivered")+COUNTIFS('Target Tracker'!$E$4:$E$81,A18,'Target Tracker'!$G$4:$G$81,"Validated")</f>
        <v/>
      </c>
    </row>
    <row r="19" ht="15" customHeight="1">
      <c r="A19" s="12" t="inlineStr">
        <is>
          <t>Early-Mid</t>
        </is>
      </c>
      <c r="B19" s="13">
        <f>COUNTIF('Target Tracker'!$E$4:$E$81,A19)</f>
        <v/>
      </c>
      <c r="C19" s="13">
        <f>COUNTIFS('Target Tracker'!$E$4:$E$81,A19,'Target Tracker'!$G$4:$G$81,"Delivered")+COUNTIFS('Target Tracker'!$E$4:$E$81,A19,'Target Tracker'!$G$4:$G$81,"Validated")</f>
        <v/>
      </c>
    </row>
    <row r="20" ht="15" customHeight="1">
      <c r="A20" s="12" t="inlineStr">
        <is>
          <t>Mid</t>
        </is>
      </c>
      <c r="B20" s="13">
        <f>COUNTIF('Target Tracker'!$E$4:$E$81,A20)</f>
        <v/>
      </c>
      <c r="C20" s="13">
        <f>COUNTIFS('Target Tracker'!$E$4:$E$81,A20,'Target Tracker'!$G$4:$G$81,"Delivered")+COUNTIFS('Target Tracker'!$E$4:$E$81,A20,'Target Tracker'!$G$4:$G$81,"Validated")</f>
        <v/>
      </c>
    </row>
    <row r="21" ht="15" customHeight="1">
      <c r="A21" s="12" t="inlineStr">
        <is>
          <t>Mid-Late</t>
        </is>
      </c>
      <c r="B21" s="13">
        <f>COUNTIF('Target Tracker'!$E$4:$E$81,A21)</f>
        <v/>
      </c>
      <c r="C21" s="13">
        <f>COUNTIFS('Target Tracker'!$E$4:$E$81,A21,'Target Tracker'!$G$4:$G$81,"Delivered")+COUNTIFS('Target Tracker'!$E$4:$E$81,A21,'Target Tracker'!$G$4:$G$81,"Validated")</f>
        <v/>
      </c>
    </row>
    <row r="22" ht="15" customHeight="1">
      <c r="A22" s="12" t="inlineStr">
        <is>
          <t>Late</t>
        </is>
      </c>
      <c r="B22" s="13">
        <f>COUNTIF('Target Tracker'!$E$4:$E$81,A22)</f>
        <v/>
      </c>
      <c r="C22" s="13">
        <f>COUNTIFS('Target Tracker'!$E$4:$E$81,A22,'Target Tracker'!$G$4:$G$81,"Delivered")+COUNTIFS('Target Tracker'!$E$4:$E$81,A22,'Target Tracker'!$G$4:$G$81,"Validated")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0" customWidth="1" min="1" max="1"/>
    <col width="95" customWidth="1" min="2" max="2"/>
  </cols>
  <sheetData>
    <row r="1" ht="27.75" customHeight="1">
      <c r="A1" s="1" t="inlineStr">
        <is>
          <t>How to use this tracker</t>
        </is>
      </c>
    </row>
    <row r="3" ht="57.75" customHeight="1">
      <c r="A3" s="20" t="inlineStr">
        <is>
          <t>Status values</t>
        </is>
      </c>
      <c r="B3" s="21" t="inlineStr">
        <is>
          <t>Not started -&gt; Provisional -&gt; In progress -&gt; Delivered -&gt; Validated. 'Provisional' = you handed the consuming subteam a hand-calc / last-year / literature placeholder before your model was ready. 'Validated' = confirmed against test data.</t>
        </is>
      </c>
    </row>
    <row r="4" ht="57.75" customHeight="1">
      <c r="A4" s="20" t="inlineStr">
        <is>
          <t>Freeze column</t>
        </is>
      </c>
      <c r="B4" s="21" t="inlineStr">
        <is>
          <t>When the CONSUMER needs the number. Early = concept/packaging (deliver from lap-sim sensitivity even before the sim is polished). Mid = geometry/component commit. Late = setup/tuning, finalised at shakedown.</t>
        </is>
      </c>
    </row>
    <row r="5" ht="57.75" customHeight="1">
      <c r="A5" s="20" t="inlineStr">
        <is>
          <t>Priority</t>
        </is>
      </c>
      <c r="B5" s="21" t="inlineStr">
        <is>
          <t>High = blocks another subteam or is a scoreboard KPI. Do these first. Solo lead: nail High items in sections 1-8 before touching section 9.</t>
        </is>
      </c>
    </row>
    <row r="6" ht="57.75" customHeight="1">
      <c r="A6" s="20" t="inlineStr">
        <is>
          <t>Golden rules</t>
        </is>
      </c>
      <c r="B6" s="21" t="inlineStr">
        <is>
          <t>1) Map delivery to the consumer's freeze date, not your sim's completion. 2) Never block a subteam - issue a Provisional number and refine. 3) Every target traces to the single parameter file. 4) State assumption + confidence in Notes. 5) Targets are decisions ('design to X because model shows Y'), not plots. 6) Re-issue after validation.</t>
        </is>
      </c>
    </row>
    <row r="7" ht="57.75" customHeight="1">
      <c r="A7" s="20" t="inlineStr">
        <is>
          <t>Dashboard</t>
        </is>
      </c>
      <c r="B7" s="21" t="inlineStr">
        <is>
          <t>Auto-counts status, % delivered, outstanding high-priority items, and progress by freeze stage. Watch the Early/Mid rows fill first.</t>
        </is>
      </c>
    </row>
    <row r="8" ht="57.75" customHeight="1">
      <c r="A8" s="20" t="inlineStr">
        <is>
          <t>Parameter file</t>
        </is>
      </c>
      <c r="B8" s="21" t="inlineStr">
        <is>
          <t>Keep one source of truth (mass, CG, track, tire coeffs, motor map). No target should depend on a number that lives only in a script.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2026-07-03T00:50:22Z</dcterms:created>
  <dcterms:modified xmlns:dcterms="http://purl.org/dc/terms/" xmlns:xsi="http://www.w3.org/2001/XMLSchema-instance" xsi:type="dcterms:W3CDTF">2026-07-19T08:45:35Z</dcterms:modified>
</cp:coreProperties>
</file>